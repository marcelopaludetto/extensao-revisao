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AC27EED0-BB9F-4A4E-B250-5CE8172A050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Números" sheetId="5" r:id="rId1"/>
    <sheet name="eixos_competências" sheetId="1" r:id="rId2"/>
    <sheet name="habilidades" sheetId="2" r:id="rId3"/>
    <sheet name="descritores" sheetId="3" r:id="rId4"/>
  </sheets>
  <definedNames>
    <definedName name="_xlnm._FilterDatabase" localSheetId="3" hidden="1">descritores!$A$1:$D$659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2" i="2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Giovana Armidoro</author>
  </authors>
  <commentList>
    <comment ref="B3" authorId="0" shapeId="0" xr:uid="{012B240B-6CF1-4EE2-95A0-A5D040802EEA}">
      <text>
        <r>
          <rPr>
            <sz val="11"/>
            <color theme="1"/>
            <rFont val="Calibri"/>
            <family val="2"/>
            <scheme val="minor"/>
          </rPr>
          <t xml:space="preserve">Atributos D88 a D97 se repetem 3 vezes, por isso a lista de descritores apresenta 658 linhas
</t>
        </r>
      </text>
    </comment>
  </commentList>
</comments>
</file>

<file path=xl/sharedStrings.xml><?xml version="1.0" encoding="utf-8"?>
<sst xmlns="http://schemas.openxmlformats.org/spreadsheetml/2006/main" count="2223" uniqueCount="1449">
  <si>
    <t>Eixo/competência</t>
  </si>
  <si>
    <t>Matriz de referência</t>
  </si>
  <si>
    <t>Habilidades</t>
  </si>
  <si>
    <t>Descritores</t>
  </si>
  <si>
    <t>codigo</t>
  </si>
  <si>
    <t>titulo</t>
  </si>
  <si>
    <t>descricao</t>
  </si>
  <si>
    <t>CD</t>
  </si>
  <si>
    <t>Cultura Digital</t>
  </si>
  <si>
    <t>Usar a tecnologia de forma ética, segura e responsável.</t>
  </si>
  <si>
    <t>MD</t>
  </si>
  <si>
    <t>Mundo Digital</t>
  </si>
  <si>
    <t>Compreender como as tecnologias digitais funcionam.</t>
  </si>
  <si>
    <t>PC</t>
  </si>
  <si>
    <t>Pensamento Computacional</t>
  </si>
  <si>
    <t>Resolver problemas de forma lógica e criativa.</t>
  </si>
  <si>
    <t>C1</t>
  </si>
  <si>
    <t>Compreender as possibilidades e os limites da Computação para resolver problemas</t>
  </si>
  <si>
    <t>Compreender as possibilidades e os limites da Computação para resolver problemas, tanto em termos de viabilidade quanto de eficiência, propondo e analisando soluções computacionais para diversos domínios do conhecimento, considerando diferentes aspectos.</t>
  </si>
  <si>
    <t>C2</t>
  </si>
  <si>
    <t>Analisar criticamente artefatos computacionais, sendo capaz de identificar as vulnerabilidades dos ambientes e das soluções computacionais</t>
  </si>
  <si>
    <t>Analisar criticamente artefatos computacionais, sendo capaz de identificar as vulnerabilidades dos ambientes e das soluções computacionais buscando garantir a integridade, privacidade, sigilo e segurança das informações.</t>
  </si>
  <si>
    <t>C3</t>
  </si>
  <si>
    <t>Analisar situações do mundo contemporâneo, selecionando técnicas computacionais apropriadas</t>
  </si>
  <si>
    <t>Analisar situações do mundo contemporâneo, selecionando técnicas computacionais apropriadas para a solução de problemas.</t>
  </si>
  <si>
    <t>C4</t>
  </si>
  <si>
    <t>Construir conhecimento usando técnicas e tecnologias computacionais</t>
  </si>
  <si>
    <t>Construir conhecimento usando técnicas e tecnologias computacionais, produzindo informação e/ou artefatos de forma criativa, com respeito às questões legais, que proporcionem experiências para si e os demais.</t>
  </si>
  <si>
    <t>C5</t>
  </si>
  <si>
    <t>Desenvolver projetos para investigar desafios do mundo contemporâneo</t>
  </si>
  <si>
    <t>Desenvolver projetos para investigar desafios do mundo contemporâneo, construir soluções e tomar decisões éticas, democráticas e socialmente responsáveis, articulando conceitos, procedimentos e linguagens próprias da Computação de maneira colaborativa.</t>
  </si>
  <si>
    <t>C6</t>
  </si>
  <si>
    <t>Expressar e partilhar informações, ideias, sentimentos e soluções computacionais</t>
  </si>
  <si>
    <t>Expressar e partilhar informações, ideias, sentimentos e soluções computacionais utilizando diferentes plataformas, ferramentas, linguagens e tecnologias da Computação de forma fluente, criativa, crítica, significativa, reflexiva e ética.</t>
  </si>
  <si>
    <t>C7</t>
  </si>
  <si>
    <t>Agir pessoal e coletivamente com respeito, autonomia, responsabilidade, flexibilidade, resiliência e determinação</t>
  </si>
  <si>
    <t>Agir pessoal e coletivamente com respeito, autonomia, responsabilidade, flexibilidade, resiliência e determinação, identificando e reconhecendo seus direitos e deveres, recorrendo aos conhecimentos da Computação e suas tecnologias para tomar decisões frente às questões de diferentes naturezas.</t>
  </si>
  <si>
    <t>eixo_competencia</t>
  </si>
  <si>
    <t>EF06CO01</t>
  </si>
  <si>
    <t>Classificar informações, agrupando-as em coleções (conjuntos) e associando cada coleção a um ‘tipo de dados’</t>
  </si>
  <si>
    <t>EF06CO02</t>
  </si>
  <si>
    <t>Elaborar algoritmos que envolvam instruções sequenciais, de repetição e de seleção usando uma linguagem de programação.</t>
  </si>
  <si>
    <t>EF06CO03</t>
  </si>
  <si>
    <t>Descrever com precisão a solução de um problema, construindo o programa que implementa a solução descrita.</t>
  </si>
  <si>
    <t>EF06CO04</t>
  </si>
  <si>
    <t>Construir soluções de problemas usando a técnica de decomposição e automatizar tais soluções usando uma linguagem de programação.</t>
  </si>
  <si>
    <t>EF06CO05</t>
  </si>
  <si>
    <t>Identificar os recursos ou insumos necessários (entradas) para a resolução de problemas, bem como os resultados esperados (saídas), determinando os respectivos tipos de dados, e estabelecendo a definição de problema como uma relação entre entrada e saída.</t>
  </si>
  <si>
    <t>EF06CO06</t>
  </si>
  <si>
    <t>Comparar diferentes casos particulares (instâncias) de um mesmo problema, identificando as semelhanças e diferenças entre eles, e criar um algoritmo para resolver todos, fazendo uso de variáveis (parâmetros) para permitir o tratamento de todos os casos de forma genérica.</t>
  </si>
  <si>
    <t>EF06CO07</t>
  </si>
  <si>
    <t>Entender o processo de transmissão de dados, como a informação é quebrada em pedaços, transmitida em pacotes através de múltiplos equipamentos, e reconstruída no destino</t>
  </si>
  <si>
    <t>EF06CO08</t>
  </si>
  <si>
    <t>Compreender e utilizar diferentes formas de armazenar, manipular, compactar e recuperar arquivos, documentos e metadados.</t>
  </si>
  <si>
    <t>EF06CO09</t>
  </si>
  <si>
    <t>Apresentar conduta e linguagem apropriadas ao se comunicar em ambiente digital, considerando a ética e o respeito.</t>
  </si>
  <si>
    <t>EF06CO10</t>
  </si>
  <si>
    <t>Analisar o consumo de tecnologia na sociedade, compreendendo criticamente o caminho da produção dos recursos bem como aspectos ligados à obsolescência e a sustentabilidade.</t>
  </si>
  <si>
    <t>EF07CO01</t>
  </si>
  <si>
    <t>Criar soluções de problemas para os quais seja adequado o uso de registros e matrizes unidimensionais para descrever suas informações e automatizá-las usando uma linguagem de programação.</t>
  </si>
  <si>
    <t>EF07CO02</t>
  </si>
  <si>
    <t>Analisar programas para detectar e remover erros, ampliando a confiança na sua correção.</t>
  </si>
  <si>
    <t>EF07CO03</t>
  </si>
  <si>
    <t>Construir soluções computacionais de problemas de diferentes áreas do conhecimento, de forma individual e colaborativa, selecionando as estruturas de dados e técnicas adequadas, aperfeiçoando e articulando saberes escolares.</t>
  </si>
  <si>
    <t>EF07CO04</t>
  </si>
  <si>
    <t>Explorar propriedades básicas de grafos.</t>
  </si>
  <si>
    <t>EF07CO05</t>
  </si>
  <si>
    <t>Criar algoritmos fazendo uso da decomposição e do reúso no processo de solução de forma colaborativa e cooperativa e automatizá-los usando uma linguagem de programação.</t>
  </si>
  <si>
    <t>EF07CO06</t>
  </si>
  <si>
    <t>Compreender o papel de protocolos para a transmissão de dados.</t>
  </si>
  <si>
    <t>EF07CO07</t>
  </si>
  <si>
    <t>Identificar problemas de segurança cibernética e experimentar formas de proteção.</t>
  </si>
  <si>
    <t>EF07CO08</t>
  </si>
  <si>
    <t>Demonstrar empatia sobre opiniões divergentes na web.</t>
  </si>
  <si>
    <t>EF07CO09</t>
  </si>
  <si>
    <t>Reconhecer e debater sobre cyberbullying.</t>
  </si>
  <si>
    <t>EF07CO10</t>
  </si>
  <si>
    <t>Identificar os impactos ambientais do descarte de peças de computadores e eletrônicos, bem como sua relação com a sustentabilidade.</t>
  </si>
  <si>
    <t>EF07CO11</t>
  </si>
  <si>
    <t>Criar, documentar e publicar, de forma individual ou colaborativa, produtos (vídeos, podcasts, web sites) usando recursos de tecnologia.</t>
  </si>
  <si>
    <t>EF08CO01</t>
  </si>
  <si>
    <t>Construir soluções de problemas usando a técnica de recursão e automatizar tais soluções usando uma linguagem de programação.</t>
  </si>
  <si>
    <t>EF08CO02</t>
  </si>
  <si>
    <t>Criar soluções de problemas para os quais seja adequado o uso de listas para descrever suas informações e automatizá-las usando uma linguagem de programação, empregando ou não a recursão como uma técnica de resolver o problema.</t>
  </si>
  <si>
    <t>EF08CO03</t>
  </si>
  <si>
    <t>Utilizar algoritmos clássicos de manipulação sobre listas.</t>
  </si>
  <si>
    <t>EF08CO04</t>
  </si>
  <si>
    <t>EF08CO05</t>
  </si>
  <si>
    <t>Compreender os conceitos de paralelismo, concorrência e armazenamento/ processamento distribuídos.</t>
  </si>
  <si>
    <t>EF08CO06</t>
  </si>
  <si>
    <t>Entender como é a estrutura e funcionamento da internet.</t>
  </si>
  <si>
    <t>EF08CO07</t>
  </si>
  <si>
    <t>Compartilhar informações por meio de redes sociais, compreendendo a sua dinâmica de funcionamento, de forma responsável e avaliando sua confiabilidade, considerando o respeito e a ética.</t>
  </si>
  <si>
    <t>EF08CO08</t>
  </si>
  <si>
    <t>Distinguir os tipos de dados pessoais que são solicitados em espaços digitais e os riscos associados.</t>
  </si>
  <si>
    <t>EF08CO09</t>
  </si>
  <si>
    <t>Analisar criticamente as políticas de termos de uso das redes sociais e demais plataformas</t>
  </si>
  <si>
    <t>EF08CO10</t>
  </si>
  <si>
    <t>Discutir questões sobre segurança e privacidade relacionadas ao uso dos ambientes virtuais.</t>
  </si>
  <si>
    <t>EF08CO11</t>
  </si>
  <si>
    <t>Avaliar a precisão, relevância, adequação, abrangência e vieses que ocorrem em fontes de informação eletrônica.</t>
  </si>
  <si>
    <t>EF09CO01</t>
  </si>
  <si>
    <t>Criar soluções de problemas para os quais seja adequado o uso de árvores e grafos para descrever suas informações e automatizá-las usando uma linguagem de programação.</t>
  </si>
  <si>
    <t>EF09CO02</t>
  </si>
  <si>
    <t>EF09CO03</t>
  </si>
  <si>
    <t>Usar autômatos para descrever comportamentos de forma abstrata automatizando-os através de uma linguagem de programação baseada em eventos.</t>
  </si>
  <si>
    <t>EF09CO04</t>
  </si>
  <si>
    <t>Compreender o funcionamento de malwares e outros ataques cibernéticos.</t>
  </si>
  <si>
    <t>EF09CO05</t>
  </si>
  <si>
    <t>Analisar técnicas de criptografia para armazenamento e transmissão de dados.</t>
  </si>
  <si>
    <t>EF09CO06</t>
  </si>
  <si>
    <t>Analisar problemas sociais de sua cidade e estado a partir de ambientes digitais, propondo soluções</t>
  </si>
  <si>
    <t>EF09CO07</t>
  </si>
  <si>
    <t>Avaliar aplicações e implicações políticas, socioambientais e culturais das tecnologias digitais para propor alternativas aos desafios do mundo contemporâneo, incluindo aqueles relativos ao mundo do trabalho.</t>
  </si>
  <si>
    <t>EF09CO08</t>
  </si>
  <si>
    <t>Discutir como a distribuição desigual de recursos de computação em uma economia global levanta questões de equidade, acesso e poder.</t>
  </si>
  <si>
    <t>EF09CO09</t>
  </si>
  <si>
    <t>Criar ou utilizar conteúdo em meio digital, compreendendo questões éticas relacionadas a direitos autorais e de uso de imagem.</t>
  </si>
  <si>
    <t>EF09CO10</t>
  </si>
  <si>
    <t>Avaliar a veracidade, credibilidade e relevância da informação em seus diferentes formatos, sendo capaz de identificar o propósito pelo qual foi disseminada.</t>
  </si>
  <si>
    <t>EM13CO01</t>
  </si>
  <si>
    <t>Explorar e construir a solução de problemas por meio da reutilização de partes de soluções existentes.</t>
  </si>
  <si>
    <t>EM13CO02</t>
  </si>
  <si>
    <t>Explorar e construir a solução de problemas por meio de refinamentos, utilizando diversos níveis de abstração desde a especificação até a implementação.</t>
  </si>
  <si>
    <t>EM13CO03</t>
  </si>
  <si>
    <t>Identificar o comportamento dos algoritmos no que diz respeito ao consumo de recursos como tempo de execução, espaço de memória e energia, entre outros.</t>
  </si>
  <si>
    <t>EM13CO04</t>
  </si>
  <si>
    <t>Reconhecer o conceito de metaprogramação como uma forma de generalização na construção de programas, permitindo que algoritmos sejam entrada ou saída para outros algoritmos.</t>
  </si>
  <si>
    <t>EM13CO05</t>
  </si>
  <si>
    <t>Identificar os limites da Computação para diferenciar o que pode ou não ser automatizado, buscando uma compreensão mais ampla dos limites dos processos mentais envolvidos na resolução de problemas.</t>
  </si>
  <si>
    <t>EM13CO06</t>
  </si>
  <si>
    <t>Avaliar software levando em consideração diferentes características e métricas associadas.</t>
  </si>
  <si>
    <t>EM13CO07</t>
  </si>
  <si>
    <t>Compreender as diferentes tecnologias, bem como equipamentos, protocolos e serviços envolvidos no funcionamento de redes de computadores, identificando suas possibilidades de escala e confiabilidade.</t>
  </si>
  <si>
    <t>EM13CO08</t>
  </si>
  <si>
    <t>Entender como mudanças na tecnologia afetam a segurança, incluindo novas maneiras de preservar sua privacidade e dados pessoais on-line, reportando suspeitas e buscando ajuda em situações de risco.</t>
  </si>
  <si>
    <t>EM13CO09</t>
  </si>
  <si>
    <t>Identificar tecnologias digitais, sua presença e formas de uso, nas diferentes atividades no mundo do trabalho.</t>
  </si>
  <si>
    <t>EM13CO10</t>
  </si>
  <si>
    <t>Conhecer os fundamentos da Inteligência Artificial, comparando-a com a inteligência humana, analisando suas potencialidades, riscos e limites.</t>
  </si>
  <si>
    <t>EM13CO11</t>
  </si>
  <si>
    <t>Criar e explorar modelos computacionais simples para simular e fazer previsões, identificando sua importância no desenvolvimento científico.</t>
  </si>
  <si>
    <t>EM13CO12</t>
  </si>
  <si>
    <t>Produzir, analisar, gerir e compartilhar informações a partir de dados, utilizando princípios de ciência de dados</t>
  </si>
  <si>
    <t>EM13CO13</t>
  </si>
  <si>
    <t>Analisar e utilizar as diferentes formas de representação e consulta a dados em formato digital para pesquisas científicas.</t>
  </si>
  <si>
    <t>EM13CO14</t>
  </si>
  <si>
    <t>Avaliar a confiabilidade das informações encontradas em meio digital, investigando seus modos de construção e considerando a autoria, a estrutura e o propósito da mensagem.</t>
  </si>
  <si>
    <t>EM13CO15</t>
  </si>
  <si>
    <t>Analisar a interação entre usuários e artefatos computacionais, abordando aspectos da experiência do usuário e promovendo reflexão sobre a qualidade do uso dos artefatos nas esferas do trabalho, do lazer e do estudo.</t>
  </si>
  <si>
    <t>EM13CO16</t>
  </si>
  <si>
    <t>Desenvolver projetos com robótica, utilizando artefatos físicos ou simuladores.</t>
  </si>
  <si>
    <t>EM13CO17</t>
  </si>
  <si>
    <t>Construir redes virtuais de interação e colaboração, favorecendo o desenvolvimento de projetos de forma segura, legal e ética.</t>
  </si>
  <si>
    <t>EM13CO18</t>
  </si>
  <si>
    <t>Planejar e gerenciar projetos integrados às áreas de conhecimento de forma colaborativa, solucionando problemas, usando diversos artefatos computacionais.</t>
  </si>
  <si>
    <t>EM13CO19</t>
  </si>
  <si>
    <t>Expor, argumentar e negociar propostas, produtos e serviços, utilizando diferentes mídias e ferramentas digitais.</t>
  </si>
  <si>
    <t>EM13CO20</t>
  </si>
  <si>
    <t>Criar conteúdos, disponibilizando-os em ambientes virtuais para publicação e compartilhamento, avaliando a confiabilidade e as consequências da disseminação dessas informações.</t>
  </si>
  <si>
    <t>EM13CO21</t>
  </si>
  <si>
    <t>Comunicar ideias complexas de forma clara por meio de objetos digitais como mapas conceituais, infográficos, hipertextos e outros.</t>
  </si>
  <si>
    <t>EM13CO22</t>
  </si>
  <si>
    <t>Produzir e publicar conteúdo como textos, imagens, áudios, vídeos e suas associações, bem como ferramentas para sua integração, organização e apresentação, utilizando diferentes mídias digitais.</t>
  </si>
  <si>
    <t>EM13CO23</t>
  </si>
  <si>
    <t>Analisar criticamente as experiências em comunidades virtuais e as relações advindas da interação e comunicação com outras pessoas, bem como seus impactos na sociedade</t>
  </si>
  <si>
    <t>EM13CO24</t>
  </si>
  <si>
    <t>Identificar e reconhecer como as redes sociais e artefatos computacionais em geral interferem na saúde física e mental de seus usuários.</t>
  </si>
  <si>
    <t>EM13CO25</t>
  </si>
  <si>
    <t>Dialogar em ambientes virtuais com segurança e respeito às diferenças culturais e pessoais, reconhecendo e denunciando atitudes abusivas.</t>
  </si>
  <si>
    <t>EM13CO26</t>
  </si>
  <si>
    <t>Aplicar os conceitos e pressupostos do direito digital em sua conduta e experiências com o cotidiano da cultura digital, bem como na produção e uso de artefatos computacionais.</t>
  </si>
  <si>
    <t>codigo_habilidade</t>
  </si>
  <si>
    <t>D01</t>
  </si>
  <si>
    <t>Identificar formas de classificar informações.</t>
  </si>
  <si>
    <t>D02</t>
  </si>
  <si>
    <t>Analisar formas de classificar informações.</t>
  </si>
  <si>
    <t>D03</t>
  </si>
  <si>
    <t>Identificar coleções (conjunto) de informações.</t>
  </si>
  <si>
    <t>D04</t>
  </si>
  <si>
    <t>Analisar critérios utilizados para formar coleções de dados.</t>
  </si>
  <si>
    <t>D05</t>
  </si>
  <si>
    <t>Identificar diferentes tipos de dados.</t>
  </si>
  <si>
    <t>D06</t>
  </si>
  <si>
    <t xml:space="preserve">Relacionar coleções (conjuntos) a tipos de dados. </t>
  </si>
  <si>
    <t>D07</t>
  </si>
  <si>
    <t>Identificar critérios dados para o agrupamento de informações.</t>
  </si>
  <si>
    <t>D08</t>
  </si>
  <si>
    <t>Reconhecer informações semelhantes para formar conjuntos.</t>
  </si>
  <si>
    <t>D09</t>
  </si>
  <si>
    <t>Compreender a adequação entre a informação e seu tipo de dado correspondente.</t>
  </si>
  <si>
    <t>D10</t>
  </si>
  <si>
    <t>Reconhecer sequências lógicas.</t>
  </si>
  <si>
    <t>D11</t>
  </si>
  <si>
    <t>Reconhecer laços de repetição.</t>
  </si>
  <si>
    <t>D12</t>
  </si>
  <si>
    <t>Relacionar comandos de uma linguagem de programação às suas funções.</t>
  </si>
  <si>
    <t>D13</t>
  </si>
  <si>
    <t>Compreender o funcionamento de estruturas condicionais.</t>
  </si>
  <si>
    <t>D14</t>
  </si>
  <si>
    <t>Compreender o funcionamento de estruturas de repetição.</t>
  </si>
  <si>
    <t>D15</t>
  </si>
  <si>
    <t>Compreender o papel de cada etapa (entrada, processamento e saída) na estrutura de um algoritmo.</t>
  </si>
  <si>
    <t>D16</t>
  </si>
  <si>
    <t>Analisar algoritmos que utilizam comandos de sequência.</t>
  </si>
  <si>
    <t>D17</t>
  </si>
  <si>
    <t>Analisar algoritmos que utilizam estruturas condicionais.</t>
  </si>
  <si>
    <t>D18</t>
  </si>
  <si>
    <t>Analisar algoritmos que utilizam estruturas de repetição.</t>
  </si>
  <si>
    <t>D19</t>
  </si>
  <si>
    <t>Interpretar algoritmos escritos em uma linguagem de programação.</t>
  </si>
  <si>
    <t>D20</t>
  </si>
  <si>
    <t>Analisar algoritmos representados em diferentes formas de notação (linguagem natural, pseudocódigo ou fluxograma).</t>
  </si>
  <si>
    <t>D21</t>
  </si>
  <si>
    <t>Identificar a necessidade de repetição em algoritmos.</t>
  </si>
  <si>
    <t>D22</t>
  </si>
  <si>
    <t>Compreender a escolha de determinada estrutura de controle em um algoritmo.</t>
  </si>
  <si>
    <t>D23</t>
  </si>
  <si>
    <t>Diferenciar instruções sequenciais, de repetição e de seleção.</t>
  </si>
  <si>
    <t>D24</t>
  </si>
  <si>
    <t>Reconhecer instruções condicionais em algoritmos simples.</t>
  </si>
  <si>
    <t>D25</t>
  </si>
  <si>
    <t>Relacionar a estrutura de controle utilizada ao comportamento esperado do algoritmo.</t>
  </si>
  <si>
    <t>D26</t>
  </si>
  <si>
    <t>Identificar a finalidade de um algoritmo a partir da análise de seus comandos.</t>
  </si>
  <si>
    <t>D27</t>
  </si>
  <si>
    <t>Compreender a diferença entre executar uma instrução e repetir uma instrução.</t>
  </si>
  <si>
    <t>D28</t>
  </si>
  <si>
    <t>Analisar o impacto da modificação de um comando na execução de um algoritmo.</t>
  </si>
  <si>
    <t>D29</t>
  </si>
  <si>
    <t>Identificar soluções possíveis para problemas computacionais simples.</t>
  </si>
  <si>
    <t>D30</t>
  </si>
  <si>
    <t>Identificar diferenças entre soluções alternativas para um mesmo problema</t>
  </si>
  <si>
    <t>D31</t>
  </si>
  <si>
    <t>Identificar padrões ou estruturas comuns em programas que resolvem problemas computacionais.</t>
  </si>
  <si>
    <t>D32</t>
  </si>
  <si>
    <t>Analisar programas construídos para a implementação de soluções de problemas.</t>
  </si>
  <si>
    <t>D33</t>
  </si>
  <si>
    <t>Relacionar partes de um programa à estratégia usada para resolver um problema.</t>
  </si>
  <si>
    <t>D34</t>
  </si>
  <si>
    <t>Compreender a correspondência entre uma descrição de solução e o código que a implementa.</t>
  </si>
  <si>
    <t>D35</t>
  </si>
  <si>
    <t>Reconhecer comandos ou estruturas responsáveis por resolver partes específicas de um problema.</t>
  </si>
  <si>
    <t>D36</t>
  </si>
  <si>
    <t>Analisar os efeitos da modificação de comandos em uma solução programada.</t>
  </si>
  <si>
    <t>D37</t>
  </si>
  <si>
    <t>Identificar partes de um problema.</t>
  </si>
  <si>
    <t>D38</t>
  </si>
  <si>
    <t>Analisar proposta de solução para um problema decomposto.</t>
  </si>
  <si>
    <t>D39</t>
  </si>
  <si>
    <t>Analisar soluções para subproblemas.</t>
  </si>
  <si>
    <t>D40</t>
  </si>
  <si>
    <t>Identificar formas de integração de soluções de subproblemas em uma solução completa.</t>
  </si>
  <si>
    <t>D41</t>
  </si>
  <si>
    <t>Compreender o uso da técnica de decomposição na resolução de problemas.</t>
  </si>
  <si>
    <t>D42</t>
  </si>
  <si>
    <t>Identificar a técnica de decomposição na resolução de problemas.</t>
  </si>
  <si>
    <t>D43</t>
  </si>
  <si>
    <t>Analisar soluções de problemas a partir da técnica de decomposição.</t>
  </si>
  <si>
    <t>D44</t>
  </si>
  <si>
    <t>Interpretar soluções de problemas que utilizam a linguagem de programação.</t>
  </si>
  <si>
    <t>D45</t>
  </si>
  <si>
    <t>Compreender automatizações utilizando a linguagem de programação.</t>
  </si>
  <si>
    <t>D46</t>
  </si>
  <si>
    <t>Identificar formas de automatizar soluções utilizando a linguagem de programação.</t>
  </si>
  <si>
    <t>D47</t>
  </si>
  <si>
    <t>Analisar automatizações que utilizam a linguagem de programação.</t>
  </si>
  <si>
    <t>D48</t>
  </si>
  <si>
    <t>Relacionar subproblemas a partes específicas da solução programada.</t>
  </si>
  <si>
    <t>D49</t>
  </si>
  <si>
    <t>Compreender como a decomposição facilita a construção de programas modulares.</t>
  </si>
  <si>
    <t>D50</t>
  </si>
  <si>
    <t>Analisar a adequação da decomposição utilizada para resolver um problema.</t>
  </si>
  <si>
    <t>D51</t>
  </si>
  <si>
    <t>Reconhecer etapas de construção de uma solução automatizada com base em um problema decomposto.</t>
  </si>
  <si>
    <t>D52</t>
  </si>
  <si>
    <t>Reconhecer o que são entrada e saídas.</t>
  </si>
  <si>
    <t>D53</t>
  </si>
  <si>
    <t xml:space="preserve">Identificar diferentes tipos de dados. </t>
  </si>
  <si>
    <t>D54</t>
  </si>
  <si>
    <t>Identificar um problema computacional a partir de seus insumos e resultados.</t>
  </si>
  <si>
    <t>D55</t>
  </si>
  <si>
    <t>Reconhecer os tipos de dados das entradas em um problema.</t>
  </si>
  <si>
    <t>D56</t>
  </si>
  <si>
    <t>Reconhecer os tipos de dados das saídas em um problema.</t>
  </si>
  <si>
    <t>D57</t>
  </si>
  <si>
    <t>Determinar tipos de dados de saída na resolução de um problema.</t>
  </si>
  <si>
    <t>D58</t>
  </si>
  <si>
    <t>Determinar tipos de dados de entrada na resolução de um problema.</t>
  </si>
  <si>
    <t>D59</t>
  </si>
  <si>
    <t xml:space="preserve">Relacionar os dados de entrada de um problema aos dados de saída esperados. </t>
  </si>
  <si>
    <t>D60</t>
  </si>
  <si>
    <t>Compreender a relação entre os insumos fornecidos e os resultados esperados de um problema.</t>
  </si>
  <si>
    <t>D61</t>
  </si>
  <si>
    <t>Analisar a completude de uma definição de problema com base nas entradas, saídas e seus tipos de dados.</t>
  </si>
  <si>
    <t>D473</t>
  </si>
  <si>
    <t>Identificar semelhanças entre instâncias específicas de um mesmo problema.</t>
  </si>
  <si>
    <t>D474</t>
  </si>
  <si>
    <t>Compreender diferenças entre casos particulares de um mesmo problema.</t>
  </si>
  <si>
    <t>D475</t>
  </si>
  <si>
    <t>Analisar estruturas comuns entre instâncias de um mesmo problema.</t>
  </si>
  <si>
    <t>D476</t>
  </si>
  <si>
    <t>Analisar parâmetros comuns entre instâncias de um mesmo problema.</t>
  </si>
  <si>
    <t>D477</t>
  </si>
  <si>
    <t>Identificar elementos de entrada que se repetem em diferentes instâncias de um problema.</t>
  </si>
  <si>
    <t>D478</t>
  </si>
  <si>
    <t>Identificar etapas de processamento que se repetem em diferentes instâncias de um problema.</t>
  </si>
  <si>
    <t>D479</t>
  </si>
  <si>
    <t>Compreender como um problema pode ser resolvido de forma genérica.</t>
  </si>
  <si>
    <t>D480</t>
  </si>
  <si>
    <t>Analisar formas de generalizar soluções para diferentes casos.</t>
  </si>
  <si>
    <t>D481</t>
  </si>
  <si>
    <t>Identificar o uso de variáveis na resolução de problemas.</t>
  </si>
  <si>
    <t>D482</t>
  </si>
  <si>
    <t>Compreender a função de variáveis na criação de soluções genéricas.</t>
  </si>
  <si>
    <t>D483</t>
  </si>
  <si>
    <t>Analisar como variáveis contribuem para adaptar um algoritmo a diferentes situações.</t>
  </si>
  <si>
    <t>D484</t>
  </si>
  <si>
    <t>Identificar algoritmos que resolvem mais de um caso.</t>
  </si>
  <si>
    <t>D485</t>
  </si>
  <si>
    <t>Compreender soluções que tratam diferentes situações de forma unificada.</t>
  </si>
  <si>
    <t>D486</t>
  </si>
  <si>
    <t>Analisar estratégias utilizadas para resolver diferentes casos com um único algoritmo.</t>
  </si>
  <si>
    <t>D144</t>
  </si>
  <si>
    <t>Reconhecer o conceito de transmissão de dados.</t>
  </si>
  <si>
    <t>D145</t>
  </si>
  <si>
    <t>Compreender a divisão da informação em pedaços.</t>
  </si>
  <si>
    <t>D146</t>
  </si>
  <si>
    <t>Identificar pacotes de dados</t>
  </si>
  <si>
    <t>D147</t>
  </si>
  <si>
    <t>Identificar estruturas básicas de pacotes de dados.</t>
  </si>
  <si>
    <t>D148</t>
  </si>
  <si>
    <t>Identificar o papel de diferentes equipamentos (roteadores, switches e servidores) na transmissão de dados.</t>
  </si>
  <si>
    <t>D149</t>
  </si>
  <si>
    <t>Analisar o caminho de um pacote através de múltiplos equipamentos.</t>
  </si>
  <si>
    <t>D150</t>
  </si>
  <si>
    <t>Compreender como os pacotes são reorganizados no destino para reconstruir a informação original.</t>
  </si>
  <si>
    <t>D151</t>
  </si>
  <si>
    <t>Identificar possíveis problemas na transmissão de dados.</t>
  </si>
  <si>
    <t>D152</t>
  </si>
  <si>
    <t>Relacionar o processo de transmissão de dados a protocolos de rede.</t>
  </si>
  <si>
    <t>D153</t>
  </si>
  <si>
    <t>Analisar representações que mostram as etapas de transmissão, passagem por equipamentos e reconstrução dos dados.</t>
  </si>
  <si>
    <t>D154</t>
  </si>
  <si>
    <t>Analisar fatores que afetam a eficiência do processo de transmissão de dados.</t>
  </si>
  <si>
    <t>D155</t>
  </si>
  <si>
    <t>Compreender que os pacotes de dados podem seguir caminhos diferentes até o destino.</t>
  </si>
  <si>
    <t>D156</t>
  </si>
  <si>
    <t>Reconhecer que a ordem original da informação pode ser alterada durante a transmissão.</t>
  </si>
  <si>
    <t>D157</t>
  </si>
  <si>
    <t>Identificar etapas envolvidas no processo de envio e recebimento de dados em uma rede.</t>
  </si>
  <si>
    <t>D158</t>
  </si>
  <si>
    <t>Reconhecer diferentes formas de armazenar arquivos em dispositivos e ambientes digitais.</t>
  </si>
  <si>
    <t>D159</t>
  </si>
  <si>
    <t>Identificar formatos comuns de arquivos digitais.</t>
  </si>
  <si>
    <t>D160</t>
  </si>
  <si>
    <t>Relacionar formatos de arquivos às suas finalidades.</t>
  </si>
  <si>
    <t>D161</t>
  </si>
  <si>
    <t>Compreender a diferença entre armazenamento local e em nuvem.</t>
  </si>
  <si>
    <t>D162</t>
  </si>
  <si>
    <t>Identificar ações básicas de manipulação de arquivos e pastas (copiar, mover, renomear, excluir).</t>
  </si>
  <si>
    <t>D163</t>
  </si>
  <si>
    <t>Analisar formas de organização de arquivos digitais.</t>
  </si>
  <si>
    <t>D164</t>
  </si>
  <si>
    <t>Compreender a importância da nomeação adequada de arquivos.</t>
  </si>
  <si>
    <t>D165</t>
  </si>
  <si>
    <t>Reconhecer a função da compactação de arquivos digitais.</t>
  </si>
  <si>
    <t>D166</t>
  </si>
  <si>
    <t>Compreender a diferença entre arquivos compactados e descompactados.</t>
  </si>
  <si>
    <t>D167</t>
  </si>
  <si>
    <t>Identificar formas de recuperar arquivos em sistemas de armazenamento digital.</t>
  </si>
  <si>
    <t>D168</t>
  </si>
  <si>
    <t>Reconhecer o papel dos metadados na identificação de arquivos.</t>
  </si>
  <si>
    <t>D169</t>
  </si>
  <si>
    <t>Compreender como os metadados contribuem para a organização de documentos digitais.</t>
  </si>
  <si>
    <t>D170</t>
  </si>
  <si>
    <t>Relacionar práticas de organização digital à facilidade de recuperação de arquivos.</t>
  </si>
  <si>
    <t>D171</t>
  </si>
  <si>
    <t>Analisar estratégias de armazenamento digital com base em critérios de praticidade ou segurança.</t>
  </si>
  <si>
    <t>D207</t>
  </si>
  <si>
    <t>Identificar formas de comunicação em ambientes digitais (texto, emojis, vídeo, áudio etc.).</t>
  </si>
  <si>
    <t>D208</t>
  </si>
  <si>
    <t>Identificar ambientes digitais de comunicação (aplicativos de mensagens, fóruns, redes sociais etc.).</t>
  </si>
  <si>
    <t>D209</t>
  </si>
  <si>
    <t>Reconhecer princípios éticos característicos de/utilizados em ambientes digitais.</t>
  </si>
  <si>
    <t>D210</t>
  </si>
  <si>
    <t>Compreender a importância da linguagem apropriada em diferentes ambientes digitais.</t>
  </si>
  <si>
    <t>D211</t>
  </si>
  <si>
    <t>Reconhecer comportamentos respeitosos e inadequados em interações digitais.</t>
  </si>
  <si>
    <t>D212</t>
  </si>
  <si>
    <t>Analisar situações de comunicação digital com base em princípios de respeito e ética.</t>
  </si>
  <si>
    <t>D213</t>
  </si>
  <si>
    <t>Relacionar o tipo de linguagem utilizada ao público ou contexto de comunicação digital.</t>
  </si>
  <si>
    <t>D214</t>
  </si>
  <si>
    <t>Analisar o consumo de tecnologia na sociedade contemporânea.</t>
  </si>
  <si>
    <t>D215</t>
  </si>
  <si>
    <t>Analisar o impacto socioambiental do consumo tecnológico na contemporaneidade.</t>
  </si>
  <si>
    <t>D216</t>
  </si>
  <si>
    <t>Relacionar o consumo tecnológico da sociedade contemporânea à ideia de obsolescência.</t>
  </si>
  <si>
    <t>D217</t>
  </si>
  <si>
    <t>Reconhecer formas sustentáveis de uso da tecnologia.</t>
  </si>
  <si>
    <t>D218</t>
  </si>
  <si>
    <t>Identificar as etapas do ciclo de vida de um produto tecnológico.</t>
  </si>
  <si>
    <t>D219</t>
  </si>
  <si>
    <t>Compreender a relação entre a produção de dispositivos tecnológicos e o uso de recursos naturais.</t>
  </si>
  <si>
    <t>D220</t>
  </si>
  <si>
    <t>Identificar consequências ambientais geradas pela produção tecnológica.</t>
  </si>
  <si>
    <t>D221</t>
  </si>
  <si>
    <t>Analisar estratégias de produção tecnológica com foco em sustentabilidade.</t>
  </si>
  <si>
    <t>D222</t>
  </si>
  <si>
    <t>Reconhecer a importância do descarte adequado de dispositivos tecnológicos.</t>
  </si>
  <si>
    <t>D223</t>
  </si>
  <si>
    <t>Compreender os efeitos da obsolescência programada no consumo tecnológico.</t>
  </si>
  <si>
    <t>D224</t>
  </si>
  <si>
    <t xml:space="preserve">Analisar ações individuais e coletivas que promovem o uso consciente da tecnologia. </t>
  </si>
  <si>
    <t>D62</t>
  </si>
  <si>
    <t>Compreender o conceito de registros.</t>
  </si>
  <si>
    <t>D63</t>
  </si>
  <si>
    <t>Identificar problemas que podem ser resolvidos com o uso de registros.</t>
  </si>
  <si>
    <t>D64</t>
  </si>
  <si>
    <t>Compreender como registros organizam dados na solução de um problema.</t>
  </si>
  <si>
    <t>D65</t>
  </si>
  <si>
    <t>Analisar soluções aplicadas para a resolução de problemas com o uso de registros.</t>
  </si>
  <si>
    <t>D66</t>
  </si>
  <si>
    <t>Compreender o conceito de matrizes unidimensionais.</t>
  </si>
  <si>
    <t>D67</t>
  </si>
  <si>
    <t>Identificar problemas que podem ser resolvidos com o uso de matrizes unidimensionais.</t>
  </si>
  <si>
    <t>D68</t>
  </si>
  <si>
    <t>Compreender como matrizes unidimensionais armazenam e organizam dados em soluções de problemas.</t>
  </si>
  <si>
    <t>D69</t>
  </si>
  <si>
    <t>Analisar soluções aplicadas para a resolução de problemas com o uso de matrizes unidimensionais.</t>
  </si>
  <si>
    <t>D70</t>
  </si>
  <si>
    <t>Reconhecer os componentes de um registro, como campos e valores.</t>
  </si>
  <si>
    <t>D71</t>
  </si>
  <si>
    <t>Reconhecer os elementos de uma matriz unidimensional e sua posição por meio de índices.</t>
  </si>
  <si>
    <t>D72</t>
  </si>
  <si>
    <t>Relacionar a posição de um dado em uma matriz à lógica da solução de um problema.</t>
  </si>
  <si>
    <t>D73</t>
  </si>
  <si>
    <t>Identificar comandos ou estruturas que automatizam o uso de registros em uma linguagem de programação.</t>
  </si>
  <si>
    <t>D74</t>
  </si>
  <si>
    <t>Compreender como a automatização de registros ocorre em uma linguagem de programação.</t>
  </si>
  <si>
    <t>D75</t>
  </si>
  <si>
    <t>Analisar automatizações em registros.</t>
  </si>
  <si>
    <t>D76</t>
  </si>
  <si>
    <t>Identificar comandos ou estruturas que automatizam o uso de matrizes unidimensionais.</t>
  </si>
  <si>
    <t>D77</t>
  </si>
  <si>
    <t>Compreender como a automatização de matrizes unidimensionais ocorre em uma linguagem de programação.</t>
  </si>
  <si>
    <t>D78</t>
  </si>
  <si>
    <t>Analisar automatizações de matrizes unidimensionais.</t>
  </si>
  <si>
    <t>D79</t>
  </si>
  <si>
    <t>Relacionar o tipo de estrutura de dados utilizada (registro ou matriz) à complexidade ou ao tipo de problema resolvido.</t>
  </si>
  <si>
    <t>D80</t>
  </si>
  <si>
    <t>Interpretar o comportamento de um programa a partir da análise de seus comandos.</t>
  </si>
  <si>
    <t>D81</t>
  </si>
  <si>
    <t>Analisar a lógica de execução de um programa para verificar se atende ao problema proposto.</t>
  </si>
  <si>
    <t>D82</t>
  </si>
  <si>
    <t>Identificar erros de execução ou lógica em programas simples.</t>
  </si>
  <si>
    <t>D83</t>
  </si>
  <si>
    <t>Reconhecer comportamentos incorretos em um programa a partir de sua saída ou resultado.</t>
  </si>
  <si>
    <t>D84</t>
  </si>
  <si>
    <t>Analisar situações em que o código executa sem erros, mas não resolve corretamente o problema.</t>
  </si>
  <si>
    <t>D85</t>
  </si>
  <si>
    <t>Identificar modificações no código que corrigem comportamentos incorretos.</t>
  </si>
  <si>
    <t>D86</t>
  </si>
  <si>
    <t>Analisar os efeitos de uma modificação no funcionamento do programa.</t>
  </si>
  <si>
    <t>D87</t>
  </si>
  <si>
    <t>Relacionar a correção de erros à melhoria da confiabilidade do programa.</t>
  </si>
  <si>
    <t>D88</t>
  </si>
  <si>
    <t>Identificar soluções computacionais de problemas de diferentes áreas do conhecimento.</t>
  </si>
  <si>
    <t>D89</t>
  </si>
  <si>
    <t>Analisar soluções computacionais de problemas de diferentes áreas do conhecimento.</t>
  </si>
  <si>
    <t>D90</t>
  </si>
  <si>
    <t>Reconhecer estruturas de dados.</t>
  </si>
  <si>
    <t>D91</t>
  </si>
  <si>
    <t>Analisar estruturas de dados.</t>
  </si>
  <si>
    <t>D92</t>
  </si>
  <si>
    <t>Identificar técnicas utilizadas em soluções computacionais.</t>
  </si>
  <si>
    <t>D93</t>
  </si>
  <si>
    <t>Interpretar técnicas utilizadas em soluções computacionais.</t>
  </si>
  <si>
    <t>D94</t>
  </si>
  <si>
    <t>Relacionar soluções computacionais aos saberes escolares.</t>
  </si>
  <si>
    <t>D95</t>
  </si>
  <si>
    <t>Relacionar técnicas computacionais ao tipo de problema que resolvem.</t>
  </si>
  <si>
    <t>D96</t>
  </si>
  <si>
    <t>Reconhecer etapas de desenvolvimento colaborativo em soluções computacionais.</t>
  </si>
  <si>
    <t>D97</t>
  </si>
  <si>
    <t>Analisar como conhecimentos de outras disciplinas contribuem para a construção de uma solução computacional.</t>
  </si>
  <si>
    <t>D487</t>
  </si>
  <si>
    <t>Identificar elementos que compõem um grafo.</t>
  </si>
  <si>
    <t>D488</t>
  </si>
  <si>
    <t>Compreender a estrutura básica de um grafo.</t>
  </si>
  <si>
    <t>D489</t>
  </si>
  <si>
    <t>Analisar como os elementos de um grafo se conectam entre si.</t>
  </si>
  <si>
    <t>D490</t>
  </si>
  <si>
    <t>Identificar relações representadas em um grafo.</t>
  </si>
  <si>
    <t>D491</t>
  </si>
  <si>
    <t>Compreender informações representadas por grafos.</t>
  </si>
  <si>
    <t>D492</t>
  </si>
  <si>
    <t>Analisar trajetos ou caminhos possíveis em um grafo.</t>
  </si>
  <si>
    <t>D493</t>
  </si>
  <si>
    <t>Identificar propriedades de grafos em situações representadas.</t>
  </si>
  <si>
    <t>D494</t>
  </si>
  <si>
    <t>Compreender o conceito de conexões em um grafo.</t>
  </si>
  <si>
    <t>D495</t>
  </si>
  <si>
    <t>Analisar a existência de ciclos em um grafo.</t>
  </si>
  <si>
    <t>D496</t>
  </si>
  <si>
    <t>Analisar a existência de caminhos fechados em um grafo.</t>
  </si>
  <si>
    <t>D497</t>
  </si>
  <si>
    <t>Identificar diferentes formas de representar um grafo.</t>
  </si>
  <si>
    <t>D498</t>
  </si>
  <si>
    <t>Compreender como um grafo pode ser descrito visual ou tabularmente.</t>
  </si>
  <si>
    <t>D499</t>
  </si>
  <si>
    <t>Analisar representações equivalentes de um mesmo grafo.</t>
  </si>
  <si>
    <t>D98</t>
  </si>
  <si>
    <t>Reconhecer o uso da decomposição na estrutura de um algoritmo.</t>
  </si>
  <si>
    <t>D99</t>
  </si>
  <si>
    <t>Identificar situações em que o reúso de código pode tornar a solução mais eficiente.</t>
  </si>
  <si>
    <t>D100</t>
  </si>
  <si>
    <t>Analisar os benefícios do reúso de blocos de código em uma solução automatizada.</t>
  </si>
  <si>
    <t>D101</t>
  </si>
  <si>
    <t>Relacionar estruturas de uma linguagem de programação à sua função em um algoritmo.</t>
  </si>
  <si>
    <t>D102</t>
  </si>
  <si>
    <t>Relacionar a modularização do algoritmo aos objetivos de cada parte da solução.</t>
  </si>
  <si>
    <t>D103</t>
  </si>
  <si>
    <t>Reconhecer como diferentes funções ou blocos de código podem ser desenvolvidos colaborativamente.</t>
  </si>
  <si>
    <t>D172</t>
  </si>
  <si>
    <t>Reconhecer que protocolos definem regras para a transmissão de dados em redes.</t>
  </si>
  <si>
    <t>D173</t>
  </si>
  <si>
    <t>Identificar exemplos de protocolos utilizados na comunicação digital.</t>
  </si>
  <si>
    <t>D174</t>
  </si>
  <si>
    <t>Compreender como os protocolos organizam o envio e o recebimento de dados entre dispositivos.</t>
  </si>
  <si>
    <t>D175</t>
  </si>
  <si>
    <t>Relacionar o uso de protocolos à confiabilidade na comunicação de dados.</t>
  </si>
  <si>
    <t>D176</t>
  </si>
  <si>
    <t>Analisar o papel dos protocolos na ordenação, entrega e integridade dos pacotes de dados.</t>
  </si>
  <si>
    <t>D177</t>
  </si>
  <si>
    <t>Reconhecer problemas de segurança cibernética.</t>
  </si>
  <si>
    <t>D178</t>
  </si>
  <si>
    <t>Analisar problemas de segurança cibernética.</t>
  </si>
  <si>
    <t>D179</t>
  </si>
  <si>
    <t>Identificar formas de proteção cibernética.</t>
  </si>
  <si>
    <t>D180</t>
  </si>
  <si>
    <t>Analisar formas de proteção cibernética.</t>
  </si>
  <si>
    <t>D181</t>
  </si>
  <si>
    <t>Reconhecer práticas inseguras em ambientes digitais.</t>
  </si>
  <si>
    <t>D182</t>
  </si>
  <si>
    <t>Relacionar problemas de segurança a suas possíveis causas ou consequências.</t>
  </si>
  <si>
    <t>D183</t>
  </si>
  <si>
    <t>Relacionar formas de proteção cibernética a tipos específicos de ameaça.</t>
  </si>
  <si>
    <t>D184</t>
  </si>
  <si>
    <t>Identificar comportamentos individuais que contribuem para a segurança digital.</t>
  </si>
  <si>
    <t>D185</t>
  </si>
  <si>
    <t>Analisar a adequação de uma forma de proteção a um determinado cenário digital.</t>
  </si>
  <si>
    <t>D225</t>
  </si>
  <si>
    <t>Reconhecer atitudes empáticas em interações online com opiniões divergentes.</t>
  </si>
  <si>
    <t>D226</t>
  </si>
  <si>
    <t>Identificar comportamentos respeitosos diante de opiniões diferentes em ambientes digitais.</t>
  </si>
  <si>
    <t>D227</t>
  </si>
  <si>
    <t>Analisar respostas a opiniões divergentes com base em princípios de respeito e empatia.</t>
  </si>
  <si>
    <t>D228</t>
  </si>
  <si>
    <t>Relacionar o uso de linguagem respeitosa à demonstração de empatia em ambientes digitais.</t>
  </si>
  <si>
    <t>D229</t>
  </si>
  <si>
    <t>Compreender o conceito de cyberbullying.</t>
  </si>
  <si>
    <t>D230</t>
  </si>
  <si>
    <t>Identificar situações características de cyberbullying.</t>
  </si>
  <si>
    <t>D231</t>
  </si>
  <si>
    <t>Identificar práticas de combate ao cyberbullying.</t>
  </si>
  <si>
    <t>D232</t>
  </si>
  <si>
    <t>Analisar práticas de combate ao cyberbullying.</t>
  </si>
  <si>
    <t>D233</t>
  </si>
  <si>
    <t>Reconhecer consequências do cyberbullying para as vítimas.</t>
  </si>
  <si>
    <t>D234</t>
  </si>
  <si>
    <t>Diferenciar cyberbullying de outras formas de conflito ou brincadeira online.</t>
  </si>
  <si>
    <t>D235</t>
  </si>
  <si>
    <t>Relacionar comportamentos online a atitudes que configuram ou evitam o cyberbullying.</t>
  </si>
  <si>
    <t>D236</t>
  </si>
  <si>
    <t>Reconhecer o papel de testemunhas e observadores em situações de cyberbullying.</t>
  </si>
  <si>
    <t>D237</t>
  </si>
  <si>
    <t>Identificar problemas ambientais resultantes do descarte inadequado de eletrônicos.</t>
  </si>
  <si>
    <t>D238</t>
  </si>
  <si>
    <t>Analisar consequências ambientais do descarte inadequado de equipamentos eletrônicos.</t>
  </si>
  <si>
    <t>D239</t>
  </si>
  <si>
    <t>Analisar práticas sustentáveis de descarte de eletrônicos.</t>
  </si>
  <si>
    <t>D240</t>
  </si>
  <si>
    <t>Reconhecer materiais presentes em eletrônicos que podem causar danos ao meio ambiente.</t>
  </si>
  <si>
    <t>D241</t>
  </si>
  <si>
    <t>Relacionar o descarte inadequado de eletrônicos a problemas ambientais específicos.</t>
  </si>
  <si>
    <t>D242</t>
  </si>
  <si>
    <t>Identificar formas de reaproveitamento ou reuso de equipamentos eletrônicos.</t>
  </si>
  <si>
    <t>D243</t>
  </si>
  <si>
    <t>Reconhecer a importância da destinação correta do lixo eletrônico para a preservação ambiental.</t>
  </si>
  <si>
    <t>D244</t>
  </si>
  <si>
    <t>Identificar diferentes tipos de produtos tecnológicos.</t>
  </si>
  <si>
    <t>D245</t>
  </si>
  <si>
    <t>Relacionar tipos de produtos digitais às suas finalidades ou contextos de uso.</t>
  </si>
  <si>
    <t>D246</t>
  </si>
  <si>
    <t>Relacionar os tipos de produtos às possibilidades de uso de recursos tecnológicos.</t>
  </si>
  <si>
    <t>D247</t>
  </si>
  <si>
    <t>Identificar elementos de planejamento de um produto digital (como roteiro, estrutura ou tópicos principais).</t>
  </si>
  <si>
    <t>D248</t>
  </si>
  <si>
    <t>Relacionar partes de um documento (roteiro, mapa do site, storyboard) à execução do produto final.</t>
  </si>
  <si>
    <t>D249</t>
  </si>
  <si>
    <t>Reconhecer formas de publicação de produtos digitais em ambientes online.</t>
  </si>
  <si>
    <t>D250</t>
  </si>
  <si>
    <t>Identificar configurações básicas de privacidade e visibilidade em plataformas digitais.</t>
  </si>
  <si>
    <t>D251</t>
  </si>
  <si>
    <t>Analisar o uso de recursos tecnológicos na criação de produtos.</t>
  </si>
  <si>
    <t>D252</t>
  </si>
  <si>
    <t>Reconhecer ferramentas tecnológicas que permitem colaboração na criação de produtos digitais.</t>
  </si>
  <si>
    <t>D253</t>
  </si>
  <si>
    <t>Identificar contribuições individuais e coletivas em um trabalho colaborativo com tecnologia.</t>
  </si>
  <si>
    <t>D254</t>
  </si>
  <si>
    <t>Analisar as vantagens do trabalho colaborativo no desenvolvimento de produtos digitais.</t>
  </si>
  <si>
    <t>D104</t>
  </si>
  <si>
    <t>Compreender a estrutura de um algoritmo recursivo.</t>
  </si>
  <si>
    <t>D105</t>
  </si>
  <si>
    <t>Reconhecer os elementos de base e chamada recursiva em uma função.</t>
  </si>
  <si>
    <t>D106</t>
  </si>
  <si>
    <t>Analisar o fluxo de execução de uma função recursiva.</t>
  </si>
  <si>
    <t>D107</t>
  </si>
  <si>
    <t>Identificar problemas que podem ser resolvidos de forma recursiva.</t>
  </si>
  <si>
    <t>D108</t>
  </si>
  <si>
    <t>Comparar uma solução recursiva com uma solução iterativa para o mesmo problema.</t>
  </si>
  <si>
    <t>D109</t>
  </si>
  <si>
    <t>Compreender o conceito de listas.</t>
  </si>
  <si>
    <t>D110</t>
  </si>
  <si>
    <t>Compreender o uso de listas para descrição de informações.</t>
  </si>
  <si>
    <t>D111</t>
  </si>
  <si>
    <t>Identificar operações básicas realizadas sobre listas (adição, remoção, acesso a elementos).</t>
  </si>
  <si>
    <t>D112</t>
  </si>
  <si>
    <t>Analisar se os dados apresentados são apropriados para serem organizados em uma lista.</t>
  </si>
  <si>
    <t>D113</t>
  </si>
  <si>
    <t>Analisar listas utilizadas para soluções de problemas.</t>
  </si>
  <si>
    <t>D114</t>
  </si>
  <si>
    <t>Identificar formas de soluções de problemas a partir do uso de listas.</t>
  </si>
  <si>
    <t>D115</t>
  </si>
  <si>
    <t>Compreender soluções de problemas adequadas para o uso de listas.</t>
  </si>
  <si>
    <t>D116</t>
  </si>
  <si>
    <t>Analisar soluções de problemas aplicados no uso de listas.</t>
  </si>
  <si>
    <t>D117</t>
  </si>
  <si>
    <t>Identificar formas de automatizar listas utilizando linguagem de programação.</t>
  </si>
  <si>
    <t>D118</t>
  </si>
  <si>
    <t>Compreender formas de automatizar listas utilizando linguagem de programação.</t>
  </si>
  <si>
    <t>D119</t>
  </si>
  <si>
    <t>Analisar automatizações de listas.</t>
  </si>
  <si>
    <t>D120</t>
  </si>
  <si>
    <t>Compreender o uso da técnica de recursão.</t>
  </si>
  <si>
    <t>D121</t>
  </si>
  <si>
    <t>Analisar o uso da técnica de recursão em soluções de problemas que utilizam listas.</t>
  </si>
  <si>
    <t>D122</t>
  </si>
  <si>
    <t>Diferenciar listas de outras estruturas, como matrizes ou registros.</t>
  </si>
  <si>
    <t>D123</t>
  </si>
  <si>
    <t>Relacionar operações realizadas sobre listas ao comportamento do programa.</t>
  </si>
  <si>
    <t>D124</t>
  </si>
  <si>
    <t>Compreender a lógica de percorrer listas por meio de laços ou recursão.</t>
  </si>
  <si>
    <t>D125</t>
  </si>
  <si>
    <t>Identificar algoritmos clássicos utilizados na manipulação de listas (como busca, ordenação e contagem).</t>
  </si>
  <si>
    <t>D126</t>
  </si>
  <si>
    <t>Compreender o funcionamento de algoritmos clássicos aplicados sobre listas.</t>
  </si>
  <si>
    <t>D127</t>
  </si>
  <si>
    <t>Analisar os efeitos de um algoritmo de manipulação sobre o conteúdo de uma lista.</t>
  </si>
  <si>
    <t>D128</t>
  </si>
  <si>
    <t>Relacionar o tipo de problema à escolha do algoritmo clássico mais adequado para manipulação da lista.</t>
  </si>
  <si>
    <t>D129</t>
  </si>
  <si>
    <t>Interpretar o comportamento de uma lista após aplicação de um algoritmo clássico.</t>
  </si>
  <si>
    <t>D130</t>
  </si>
  <si>
    <t>Comparar algoritmos de manipulação quanto à lógica de funcionamento ou à eficiência em um mesmo contexto.</t>
  </si>
  <si>
    <t>D512</t>
  </si>
  <si>
    <t>Identificar situações que envolvem a execução paralela de tarefas.</t>
  </si>
  <si>
    <t>D513</t>
  </si>
  <si>
    <t>Compreender o funcionamento básico do paralelismo computacional.</t>
  </si>
  <si>
    <t>D514</t>
  </si>
  <si>
    <t>Analisar vantagens do uso de paralelismo em tarefas específicas.</t>
  </si>
  <si>
    <t>D515</t>
  </si>
  <si>
    <t>Identificar situações que envolvem a execução concorrente de tarefas.</t>
  </si>
  <si>
    <t>D516</t>
  </si>
  <si>
    <t>Compreender o conceito de concorrência na execução de processos.</t>
  </si>
  <si>
    <t>D517</t>
  </si>
  <si>
    <t xml:space="preserve">Analisar as características da execução concorrente de tarefas. </t>
  </si>
  <si>
    <t>D518</t>
  </si>
  <si>
    <t>Identificar exemplos de processamento ou armazenamento distribuído.</t>
  </si>
  <si>
    <t>D519</t>
  </si>
  <si>
    <t>Compreender como o processamento pode ser dividido entre diferentes sistemas.</t>
  </si>
  <si>
    <t>D520</t>
  </si>
  <si>
    <t>Analisar aplicações que utilizam computação distribuída.</t>
  </si>
  <si>
    <t>D521</t>
  </si>
  <si>
    <t xml:space="preserve">Distinguir o conceito de paralelismo de concorrência. </t>
  </si>
  <si>
    <t>D522</t>
  </si>
  <si>
    <t xml:space="preserve">Distinguir o conceito de paralelismo de processamento distribuído. </t>
  </si>
  <si>
    <t>D523</t>
  </si>
  <si>
    <t>Distinguir o conceito de concorrência de processamento distribuído.</t>
  </si>
  <si>
    <t>D524</t>
  </si>
  <si>
    <t>Compreender diferenças conceituais entre execução concorrente e paralela.</t>
  </si>
  <si>
    <t>D525</t>
  </si>
  <si>
    <t>Analisar a aplicação adequada de cada conceito em diferentes contextos computacionais.</t>
  </si>
  <si>
    <t>D186</t>
  </si>
  <si>
    <t>Reconhecer a internet como uma rede global de dispositivos interconectados.</t>
  </si>
  <si>
    <t>D187</t>
  </si>
  <si>
    <t>Identificar componentes da infraestrutura da internet, como servidores, cabos e satélites.</t>
  </si>
  <si>
    <t>D188</t>
  </si>
  <si>
    <t>Compreender o papel dos provedores de acesso no funcionamento da internet.</t>
  </si>
  <si>
    <t>D189</t>
  </si>
  <si>
    <t>Diferenciar a internet da World Wide Web (web).</t>
  </si>
  <si>
    <t>D190</t>
  </si>
  <si>
    <t>Relacionar o endereço IP e os nomes de domínio à localização de informações na internet.</t>
  </si>
  <si>
    <t>D191</t>
  </si>
  <si>
    <t>Analisar o percurso de um dado desde a origem até o destino na rede.</t>
  </si>
  <si>
    <t>D255</t>
  </si>
  <si>
    <t>Compreender o funcionamento das redes sociais.</t>
  </si>
  <si>
    <t>D256</t>
  </si>
  <si>
    <t>Identificar formas responsáveis de uso das redes sociais.</t>
  </si>
  <si>
    <t>D257</t>
  </si>
  <si>
    <t>Compreender a importância do respeito e da ética no compartilhamento nas redes sociais.</t>
  </si>
  <si>
    <t>D258</t>
  </si>
  <si>
    <t>Compreender o impacto das redes sociais no comportamento social.</t>
  </si>
  <si>
    <t>D259</t>
  </si>
  <si>
    <t>Compreender a influência dos algoritmos no que é exibido nas redes sociais.</t>
  </si>
  <si>
    <t>D260</t>
  </si>
  <si>
    <t>Analisar a confiabilidade das informações compartilhadas nas redes sociais.</t>
  </si>
  <si>
    <t>D261</t>
  </si>
  <si>
    <t>Identificar fatores que tornam uma informação inadequada ou imprópria para compartilhamento.</t>
  </si>
  <si>
    <t>D262</t>
  </si>
  <si>
    <t>Analisar como curtidas, comentários e compartilhamentos influenciam a visibilidade de um conteúdo.</t>
  </si>
  <si>
    <t>D263</t>
  </si>
  <si>
    <t>Reconhecer o papel dos algoritmos na personalização do conteúdo exibido ao usuário.</t>
  </si>
  <si>
    <t>D264</t>
  </si>
  <si>
    <t>Identificar diferentes tipos de dados pessoais solicitados em espaços digitais (como nome, e-mail, localização ou dados bancários).</t>
  </si>
  <si>
    <t>D265</t>
  </si>
  <si>
    <t>Reconhecer dados pessoais sensíveis, como origem étnica, religião, orientação sexual ou saúde.</t>
  </si>
  <si>
    <t>D266</t>
  </si>
  <si>
    <t>Compreender os riscos associados à divulgação de dados pessoais em espaços digitais.</t>
  </si>
  <si>
    <t>D267</t>
  </si>
  <si>
    <t>Analisar situações em que o compartilhamento de dados pessoais representa risco à segurança ou à privacidade.</t>
  </si>
  <si>
    <t>D268</t>
  </si>
  <si>
    <t>Distinguir entre dados necessários e dados excessivos solicitados em cadastros ou formulários digitais.</t>
  </si>
  <si>
    <t>D269</t>
  </si>
  <si>
    <t>Relacionar o tipo de dado solicitado ao possível uso indevido por terceiros.</t>
  </si>
  <si>
    <t>D270</t>
  </si>
  <si>
    <t>Identificar informações básicas contidas em termos de uso de redes sociais ou plataformas digitais.</t>
  </si>
  <si>
    <t>D271</t>
  </si>
  <si>
    <t>Compreender os direitos e deveres do usuário descritos em políticas de uso.</t>
  </si>
  <si>
    <t>D272</t>
  </si>
  <si>
    <t>Reconhecer cláusulas que tratam do uso de dados pessoais em termos de serviço.</t>
  </si>
  <si>
    <t>D273</t>
  </si>
  <si>
    <t>Analisar as consequências de aceitar termos de uso sem realizar sua leitura.</t>
  </si>
  <si>
    <t>D274</t>
  </si>
  <si>
    <t>Relacionar um trecho de política de uso a uma consequência específica para o usuário.</t>
  </si>
  <si>
    <t>D275</t>
  </si>
  <si>
    <t>Identificar semelhanças entre diferentes termos de uso.</t>
  </si>
  <si>
    <t>D276</t>
  </si>
  <si>
    <t>Identificar diferenças entre diferentes termos de uso.</t>
  </si>
  <si>
    <t>D277</t>
  </si>
  <si>
    <t>Reconhecer práticas que colocam em risco a privacidade do usuário em ambientes virtuais.</t>
  </si>
  <si>
    <t>D278</t>
  </si>
  <si>
    <t>Identificar medidas de proteção de dados em ambientes digitais (como uso de senhas, autenticação, controle de permissões).</t>
  </si>
  <si>
    <t>D279</t>
  </si>
  <si>
    <t>Compreender a diferença entre segurança e privacidade em ambientes virtuais.</t>
  </si>
  <si>
    <t>D280</t>
  </si>
  <si>
    <t>Analisar situações que envolvem exposição de informações pessoais em ambientes online.</t>
  </si>
  <si>
    <t>D281</t>
  </si>
  <si>
    <t>Relacionar atitudes digitais a riscos ou garantias de privacidade.</t>
  </si>
  <si>
    <t>D282</t>
  </si>
  <si>
    <t>Compreender a importância da qualidade das informações encontradas em fontes eletrônicas.</t>
  </si>
  <si>
    <t>D283</t>
  </si>
  <si>
    <t>Analisar a precisão e relevância das informações em fontes eletrônicas.</t>
  </si>
  <si>
    <t>D284</t>
  </si>
  <si>
    <t>Analisar a adequação da fonte ao público-alvo.</t>
  </si>
  <si>
    <t>D285</t>
  </si>
  <si>
    <t>Analisar a abrangência das informações.</t>
  </si>
  <si>
    <t>D286</t>
  </si>
  <si>
    <t>Identificar vieses presentes nas fontes.</t>
  </si>
  <si>
    <t>D287</t>
  </si>
  <si>
    <t>Analisar os efeitos de vieses presentes nas fontes de informação.</t>
  </si>
  <si>
    <t>D288</t>
  </si>
  <si>
    <t>Compreender o impacto do formato e da mídia na informação.</t>
  </si>
  <si>
    <t>D289</t>
  </si>
  <si>
    <t>Identificar informações excessivas ou ausentes que afetam a compreensão de um tema.</t>
  </si>
  <si>
    <t>D290</t>
  </si>
  <si>
    <t>Relacionar o formato de apresentação da informação ao seu impacto interpretativo.</t>
  </si>
  <si>
    <t>D291</t>
  </si>
  <si>
    <t>Reconhecer quando uma fonte apresenta apenas um ponto de vista sobre um tema.</t>
  </si>
  <si>
    <t>D500</t>
  </si>
  <si>
    <t>Identificar situações em que o uso de árvores é adequado para representar informações.</t>
  </si>
  <si>
    <t>D501</t>
  </si>
  <si>
    <t>Compreender a estrutura e o funcionamento de uma árvore em contextos computacionais.</t>
  </si>
  <si>
    <t>D502</t>
  </si>
  <si>
    <t>Analisar relações hierárquicas que podem ser representadas com árvores.</t>
  </si>
  <si>
    <t>D503</t>
  </si>
  <si>
    <t>Identificar problemas que podem ser resolvidos com o uso de grafos.</t>
  </si>
  <si>
    <t>D504</t>
  </si>
  <si>
    <t>Compreender como grafos representam conexões entre elementos.</t>
  </si>
  <si>
    <t>D505</t>
  </si>
  <si>
    <t>Analisar contextos em que a representação por grafos é mais adequada do que por listas ou tabelas.</t>
  </si>
  <si>
    <t>D506</t>
  </si>
  <si>
    <t>Identificar trechos de código que percorrem ou manipulam estruturas em árvore.</t>
  </si>
  <si>
    <t>D507</t>
  </si>
  <si>
    <t>Compreender algoritmos que utilizam grafos para resolver problemas.</t>
  </si>
  <si>
    <t>D508</t>
  </si>
  <si>
    <t>Analisar a coerência entre uma estrutura (grafo ou árvore) e seu algoritmo de resolução.</t>
  </si>
  <si>
    <t>D509</t>
  </si>
  <si>
    <t>Distinguir problemas que exigem a representação por grafos daqueles que exigem árvores.</t>
  </si>
  <si>
    <t>D510</t>
  </si>
  <si>
    <t>Compreender critérios para escolher entre diferentes estruturas de dados.</t>
  </si>
  <si>
    <t>D511</t>
  </si>
  <si>
    <t>Analisar a adequação de uma estrutura de dados à natureza do problema.</t>
  </si>
  <si>
    <t>D131</t>
  </si>
  <si>
    <t>Compreender o conceito de autômatos.</t>
  </si>
  <si>
    <t>D132</t>
  </si>
  <si>
    <t>Identificar o uso de autômatos na descrição de comportamentos.</t>
  </si>
  <si>
    <t>D133</t>
  </si>
  <si>
    <t>Analisar o uso de autômatos na descrição de comportamentos.</t>
  </si>
  <si>
    <t>D134</t>
  </si>
  <si>
    <t>Compreender como autômatos representam comportamentos por meio de estados e transições.</t>
  </si>
  <si>
    <t>D135</t>
  </si>
  <si>
    <t>Analisar comportamentos representados por autômatos de estados.</t>
  </si>
  <si>
    <t>D136</t>
  </si>
  <si>
    <t>Compreender como comportamentos modelados em autômatos podem ser automatizados em uma linguagem de programação.</t>
  </si>
  <si>
    <t>D137</t>
  </si>
  <si>
    <t>Analisar programas que automatizam comportamentos descritos por autômatos.</t>
  </si>
  <si>
    <t>D138</t>
  </si>
  <si>
    <t>Compreender o funcionamento de linguagens de programação baseadas em eventos.</t>
  </si>
  <si>
    <t>D139</t>
  </si>
  <si>
    <t>Analisar linguagens de programação baseadas em eventos.</t>
  </si>
  <si>
    <t>D140</t>
  </si>
  <si>
    <t>Reconhecer os componentes de um autômato (estados, transições, eventos, ações).</t>
  </si>
  <si>
    <t>D141</t>
  </si>
  <si>
    <t>Relacionar um diagrama de autômato ao comportamento descrito em um programa.</t>
  </si>
  <si>
    <t>D142</t>
  </si>
  <si>
    <t>Identificar eventos que disparam transições em um sistema baseado em autômatos.</t>
  </si>
  <si>
    <t>D143</t>
  </si>
  <si>
    <t>Comparar um programa com e sem uso de autômatos na organização de comportamentos.</t>
  </si>
  <si>
    <t>D526</t>
  </si>
  <si>
    <t>Identificar diferentes tipos de malwares.</t>
  </si>
  <si>
    <t>D527</t>
  </si>
  <si>
    <t>Identificar os efeitos que um malware pode causar em dispositivos.</t>
  </si>
  <si>
    <t>D528</t>
  </si>
  <si>
    <t>Compreender o funcionamento de malwares em contextos digitais.</t>
  </si>
  <si>
    <t>D529</t>
  </si>
  <si>
    <t>Analisar o impacto da ação de um malware em um sistema.</t>
  </si>
  <si>
    <t>D530</t>
  </si>
  <si>
    <t>Identificar formas comuns de ataques cibernéticos.</t>
  </si>
  <si>
    <t>D531</t>
  </si>
  <si>
    <t>Compreender o funcionamento de um ataque de phishing.</t>
  </si>
  <si>
    <t>D532</t>
  </si>
  <si>
    <t>Compreender o funcionamento de um ataque de engenharia social.</t>
  </si>
  <si>
    <t>D533</t>
  </si>
  <si>
    <t>Analisar situações que envolvem ataques cibernéticos.</t>
  </si>
  <si>
    <t>D534</t>
  </si>
  <si>
    <t>Identificar comportamentos de risco no uso de tecnologias.</t>
  </si>
  <si>
    <t>D535</t>
  </si>
  <si>
    <t>Compreender boas práticas para prevenção de ataques cibernéticos.</t>
  </si>
  <si>
    <t>D536</t>
  </si>
  <si>
    <t>Analisar comportamentos que contribuem para a segurança digital.</t>
  </si>
  <si>
    <t>D537</t>
  </si>
  <si>
    <t>Compreender o conceito de malware.</t>
  </si>
  <si>
    <t>D538</t>
  </si>
  <si>
    <t>Compreender o conceito de ataques cibernéticos.</t>
  </si>
  <si>
    <t>D539</t>
  </si>
  <si>
    <t>Analisar como uma ameaça digital afeta um sistema.</t>
  </si>
  <si>
    <t>D192</t>
  </si>
  <si>
    <t>Compreender os conceitos básicos da criptografia, como chave, cifra e descriptografia.</t>
  </si>
  <si>
    <t>D193</t>
  </si>
  <si>
    <t>Compreender a lógica de funcionamento da criptografia simétrica.</t>
  </si>
  <si>
    <t>D194</t>
  </si>
  <si>
    <t>Compreender a lógica de funcionamento da criptografia assimétrica.</t>
  </si>
  <si>
    <t>D195</t>
  </si>
  <si>
    <t>Analisar técnicas de criptografia.</t>
  </si>
  <si>
    <t>D196</t>
  </si>
  <si>
    <t>Analisar o uso da criptografia no armazenamento de dados.</t>
  </si>
  <si>
    <t>D197</t>
  </si>
  <si>
    <t>Analisar o uso da criptografia na transmissão de dados.</t>
  </si>
  <si>
    <t>D198</t>
  </si>
  <si>
    <t>Analisar algoritmos de criptografia simétrica.</t>
  </si>
  <si>
    <t>D199</t>
  </si>
  <si>
    <t>Compreender o uso de funções hash.</t>
  </si>
  <si>
    <t>D200</t>
  </si>
  <si>
    <t>Analisar técnicas de geração de chaves criptográficas.</t>
  </si>
  <si>
    <t>D201</t>
  </si>
  <si>
    <t>Analisar técnicas de distribuição de chaves criptográficas.</t>
  </si>
  <si>
    <t>D202</t>
  </si>
  <si>
    <t>Compreender o papel dos protocolos de segurança na proteção de dados criptografados.</t>
  </si>
  <si>
    <t>D203</t>
  </si>
  <si>
    <t>Reconhecer quando a criptografia é aplicada a dados armazenados ou transmitidos.</t>
  </si>
  <si>
    <t>D204</t>
  </si>
  <si>
    <t>Relacionar o tipo de criptografia ao cenário de uso (armazenamento, autenticação, comunicação).</t>
  </si>
  <si>
    <t>D205</t>
  </si>
  <si>
    <t>Diferenciar criptografia simétrica e assimétrica quanto ao uso das chaves.</t>
  </si>
  <si>
    <t>D206</t>
  </si>
  <si>
    <t>Interpretar a função de um protocolo seguro (como HTTPS ou SSL) em uma conexão digital.</t>
  </si>
  <si>
    <t>D540</t>
  </si>
  <si>
    <t>Identificar causas de problemas sociais com base em informações digitais.</t>
  </si>
  <si>
    <t>D541</t>
  </si>
  <si>
    <t>Identificar ferramentas digitais que permitem investigar problemas sociais.</t>
  </si>
  <si>
    <t>D542</t>
  </si>
  <si>
    <t>Compreender como ambientes digitais podem auxiliar na análise de dados sociais.</t>
  </si>
  <si>
    <t>D543</t>
  </si>
  <si>
    <t>Analisar dados quantitativos extraídos de plataformas públicas sobre um problema social.</t>
  </si>
  <si>
    <t>D544</t>
  </si>
  <si>
    <t>Identificar soluções tecnológicas simples baseadas em sistemas de informação para problemas sociais.</t>
  </si>
  <si>
    <t>D545</t>
  </si>
  <si>
    <t>Compreender o papel de plataformas digitais na resolução de problemas sociais.</t>
  </si>
  <si>
    <t>D546</t>
  </si>
  <si>
    <t>Analisar propostas de solução baseadas em dados coletados digitalmente.</t>
  </si>
  <si>
    <t>D547</t>
  </si>
  <si>
    <t>Compreender a relação entre análise de dados e tomada de decisão sobre problemas sociais.</t>
  </si>
  <si>
    <t>D548</t>
  </si>
  <si>
    <t>Analisar o papel dos dados digitais na construção de soluções colaborativas.</t>
  </si>
  <si>
    <t>D292</t>
  </si>
  <si>
    <t>Analisar o impacto das tecnologias digitais na participação política.</t>
  </si>
  <si>
    <t>D293</t>
  </si>
  <si>
    <t>Identificar formas de controle político associadas ao uso de tecnologias digitais.</t>
  </si>
  <si>
    <t>D294</t>
  </si>
  <si>
    <t>Identificar formas de manipulação política associadas ao uso de tecnologias digitais.</t>
  </si>
  <si>
    <t>D295</t>
  </si>
  <si>
    <t>Compreender os impactos ambientais associados à produção e ao descarte de dispositivos digitais.</t>
  </si>
  <si>
    <t>D296</t>
  </si>
  <si>
    <t>Analisar o papel da tecnologia digital na promoção de práticas sustentáveis.</t>
  </si>
  <si>
    <t>D297</t>
  </si>
  <si>
    <t>Compreender as transformações culturais provocadas pelas tecnologias digitais.</t>
  </si>
  <si>
    <t>D298</t>
  </si>
  <si>
    <t>Analisar como o uso das tecnologias digitais influencia hábitos sociais.</t>
  </si>
  <si>
    <t>D299</t>
  </si>
  <si>
    <t>Analisar como o uso das tecnologias digitais influencia comportamentos sociais.</t>
  </si>
  <si>
    <t>D300</t>
  </si>
  <si>
    <t>Compreender as transformações no mundo do trabalho geradas pelas tecnologias digitais.</t>
  </si>
  <si>
    <t>D301</t>
  </si>
  <si>
    <t>Analisar as exigências de competências digitais no mercado de trabalho atual.</t>
  </si>
  <si>
    <t>D302</t>
  </si>
  <si>
    <t>Relacionar o uso responsável das tecnologias digitais a situações-problema do mundo contemporâneo.</t>
  </si>
  <si>
    <t>D303</t>
  </si>
  <si>
    <t>Identificar alternativas tecnológicas para enfrentar problemas sociais.</t>
  </si>
  <si>
    <t>D304</t>
  </si>
  <si>
    <t>Identificar alternativas tecnológicas para enfrentar problemas ambientais.</t>
  </si>
  <si>
    <t>D305</t>
  </si>
  <si>
    <t>Analisar o papel da tecnologia na redução das desigualdades sociais.</t>
  </si>
  <si>
    <t>D306</t>
  </si>
  <si>
    <t>Analisar o papel da tecnologia na ampliação das desigualdades sociais.</t>
  </si>
  <si>
    <t>D307</t>
  </si>
  <si>
    <t>Reconhecer o uso das tecnologias como instrumento de inclusão social.</t>
  </si>
  <si>
    <t>D308</t>
  </si>
  <si>
    <t>Reconhecer o uso das tecnologias como instrumento de exclusão social.</t>
  </si>
  <si>
    <t>D309</t>
  </si>
  <si>
    <t>Analisar iniciativas sociais que promovem o uso ético das tecnologias digitais.</t>
  </si>
  <si>
    <t>D310</t>
  </si>
  <si>
    <t>Analisar iniciativas educativas que promovem o uso ético das tecnologias digitais.</t>
  </si>
  <si>
    <t>D549</t>
  </si>
  <si>
    <t>Identificar exemplos de desigualdade no acesso a recursos computacionais.</t>
  </si>
  <si>
    <t>D550</t>
  </si>
  <si>
    <t>Compreender que nem todas as regiões possuem o mesmo acesso a tecnologias digitais.</t>
  </si>
  <si>
    <t>D551</t>
  </si>
  <si>
    <t>Analisar situações em que há concentração de recursos computacionais em determinadas regiões.</t>
  </si>
  <si>
    <t>D552</t>
  </si>
  <si>
    <t>Identificar fatores que limitam o acesso à computação em determinadas populações.</t>
  </si>
  <si>
    <t>D553</t>
  </si>
  <si>
    <t>Compreender a relação entre acesso à tecnologia e desigualdade social.</t>
  </si>
  <si>
    <t>D554</t>
  </si>
  <si>
    <t>Analisar o impacto da falta de acesso à computação sobre oportunidades educacionais ou sociais.</t>
  </si>
  <si>
    <t>D555</t>
  </si>
  <si>
    <t>Identificar países ou grupos que concentram o desenvolvimento de tecnologias.</t>
  </si>
  <si>
    <t>D556</t>
  </si>
  <si>
    <t>Compreender como a posse de infraestrutura tecnológica pode gerar poder econômico ou político.</t>
  </si>
  <si>
    <t>D557</t>
  </si>
  <si>
    <t>Analisar o papel da computação na ampliação ou redução de desigualdades de poder.</t>
  </si>
  <si>
    <t>D558</t>
  </si>
  <si>
    <t>Compreender como iniciativas de software livre podem promover equidade no acesso a serviços digitais.</t>
  </si>
  <si>
    <t>D559</t>
  </si>
  <si>
    <t>Analisar como tecnologias de código aberto podem combater desigualdades no acesso à computação.</t>
  </si>
  <si>
    <t>D560</t>
  </si>
  <si>
    <t>Analisar como sistemas de recomendação automatizados podem reforçar desigualdades digitais.</t>
  </si>
  <si>
    <t>D311</t>
  </si>
  <si>
    <t>Compreender o processo de criação de conteúdo em meio digital.</t>
  </si>
  <si>
    <t>D312</t>
  </si>
  <si>
    <t>Identificar boas práticas no uso de conteúdo digital criado por terceiros.</t>
  </si>
  <si>
    <t>D313</t>
  </si>
  <si>
    <t>Compreender o conceito de direitos autorais aplicados ao conteúdo digital.</t>
  </si>
  <si>
    <t>D314</t>
  </si>
  <si>
    <t>Reconhecer situações de violação de direitos autorais em mídias digitais.</t>
  </si>
  <si>
    <t>D315</t>
  </si>
  <si>
    <t>Compreender o conceito de direito de uso de imagem de pessoas ou obras.</t>
  </si>
  <si>
    <t>D316</t>
  </si>
  <si>
    <t>Reconhecer práticas adequadas no uso de imagens de terceiros em conteúdos digitais.</t>
  </si>
  <si>
    <t>D317</t>
  </si>
  <si>
    <t>Identificar licenças de uso associadas a conteúdos digitais, como Creative Commons e domínio público.</t>
  </si>
  <si>
    <t>D318</t>
  </si>
  <si>
    <t>Compreender os princípios éticos que orientam a criação e o uso de conteúdo digital.</t>
  </si>
  <si>
    <t>D319</t>
  </si>
  <si>
    <t>Reconhecer consequências éticas do uso indevido de conteúdo digital.</t>
  </si>
  <si>
    <t>D320</t>
  </si>
  <si>
    <t>Reconhecer consequências legais do uso indevido de conteúdo digital.</t>
  </si>
  <si>
    <t>D321</t>
  </si>
  <si>
    <t>Compreender a importância de verificar a veracidade de uma informação.</t>
  </si>
  <si>
    <t>D322</t>
  </si>
  <si>
    <t>Compreender a importância de verificar a credibilidade de uma informação.</t>
  </si>
  <si>
    <t>D323</t>
  </si>
  <si>
    <t>Compreender a importância de verificar a relevância de uma informação.</t>
  </si>
  <si>
    <t>D324</t>
  </si>
  <si>
    <t>Analisar a veracidade de uma informação.</t>
  </si>
  <si>
    <t>D325</t>
  </si>
  <si>
    <t>Analisar a credibilidade de uma informação.</t>
  </si>
  <si>
    <t>D326</t>
  </si>
  <si>
    <t>Analisar a relevância de uma informação.</t>
  </si>
  <si>
    <t>D327</t>
  </si>
  <si>
    <t>Identificar o objetivo da disseminação de uma informação.</t>
  </si>
  <si>
    <t>D328</t>
  </si>
  <si>
    <t>Relacionar o formato de uma informação ao seu propósito de divulgação.</t>
  </si>
  <si>
    <t>D329</t>
  </si>
  <si>
    <t>Reconhecer indícios de intenção persuasiva ou manipulativa em uma informação.</t>
  </si>
  <si>
    <t>D330</t>
  </si>
  <si>
    <t>Identificar partes de soluções existentes.</t>
  </si>
  <si>
    <t>D331</t>
  </si>
  <si>
    <t>Analisar a função de partes de soluções existentes na resolução de um problema.</t>
  </si>
  <si>
    <t>D332</t>
  </si>
  <si>
    <t>Identificar formas de reutilização de partes de soluções existentes na construção de novas soluções.</t>
  </si>
  <si>
    <t>D333</t>
  </si>
  <si>
    <t>Reconhecer situações em que é possível reutilizar partes de soluções existentes.</t>
  </si>
  <si>
    <t>D334</t>
  </si>
  <si>
    <t>Relacionar partes de uma solução existente com novas demandas de um problema.</t>
  </si>
  <si>
    <t>D335</t>
  </si>
  <si>
    <t>Analisar a reutilização de partes de soluções existentes na construção de novas soluções.</t>
  </si>
  <si>
    <t>D336</t>
  </si>
  <si>
    <t>Analisar a adequação de partes reutilizadas em diferentes contextos.</t>
  </si>
  <si>
    <t>D337</t>
  </si>
  <si>
    <t>Reconhecer princípios que orientam a reutilização de partes de soluções existentes.</t>
  </si>
  <si>
    <t>D338</t>
  </si>
  <si>
    <t>Identificar vantagens do uso de soluções reutilizáveis.</t>
  </si>
  <si>
    <t>D339</t>
  </si>
  <si>
    <t>Identificar formas de refinamento na construção da solução de um problema.</t>
  </si>
  <si>
    <t>D340</t>
  </si>
  <si>
    <t>Reconhecer estratégias utilizadas no refinamento de soluções para torná-las mais eficientes ou organizadas.</t>
  </si>
  <si>
    <t>D341</t>
  </si>
  <si>
    <t>Analisar refinamentos utilizados na solução de um problema.</t>
  </si>
  <si>
    <t>D342</t>
  </si>
  <si>
    <t>Identificar soluções que envolvem diferentes níveis de abstração.</t>
  </si>
  <si>
    <t>D343</t>
  </si>
  <si>
    <t>Relacionar diferentes representações de uma solução com os respectivos níveis de abstração.</t>
  </si>
  <si>
    <t>D344</t>
  </si>
  <si>
    <t>Analisar soluções que envolvem os diferentes níveis de abstração.</t>
  </si>
  <si>
    <t>D345</t>
  </si>
  <si>
    <t>Identificar etapas de uma solução representadas em diferentes níveis de abstração.</t>
  </si>
  <si>
    <t>D346</t>
  </si>
  <si>
    <t>Relacionar uma especificação geral com sua implementação em linguagem de programação.</t>
  </si>
  <si>
    <t>D347</t>
  </si>
  <si>
    <t>Analisar a coerência entre diferentes níveis de abstração em uma mesma solução.</t>
  </si>
  <si>
    <t>D348</t>
  </si>
  <si>
    <t>Identificar comportamentos de algoritmos relacionados ao consumo de recursos.</t>
  </si>
  <si>
    <t>D349</t>
  </si>
  <si>
    <t>Identificar o tempo de execução de um algoritmo.</t>
  </si>
  <si>
    <t>D350</t>
  </si>
  <si>
    <t>Identificar o consumo de espaço de memória de um algoritmo.</t>
  </si>
  <si>
    <t>D351</t>
  </si>
  <si>
    <t>Identificar o consumo de energia de um algoritmo.</t>
  </si>
  <si>
    <t>D352</t>
  </si>
  <si>
    <t>Compreender como algoritmos consomem tempo de execução em diferentes situações.</t>
  </si>
  <si>
    <t>D353</t>
  </si>
  <si>
    <t>Compreender como algoritmos utilizam espaço de memória conforme sua estrutura.</t>
  </si>
  <si>
    <t>D354</t>
  </si>
  <si>
    <t>Compreender os fatores que afetam o consumo de energia de um algoritmo.</t>
  </si>
  <si>
    <t>D355</t>
  </si>
  <si>
    <t>Compreender o comportamento dos algoritmos em relação ao uso de recursos computacionais.</t>
  </si>
  <si>
    <t>D356</t>
  </si>
  <si>
    <t>Analisar o impacto do tempo de execução na escolha de algoritmos.</t>
  </si>
  <si>
    <t>D357</t>
  </si>
  <si>
    <t>Analisar o impacto do consumo de memória na eficiência de uma solução computacional.</t>
  </si>
  <si>
    <t>D358</t>
  </si>
  <si>
    <t>Analisar o comportamento de algoritmos em relação ao consumo de recursos computacionais.</t>
  </si>
  <si>
    <t>D561</t>
  </si>
  <si>
    <t>Identificar o conceito de metaprogramação.</t>
  </si>
  <si>
    <t>D562</t>
  </si>
  <si>
    <t>Compreender como a metaprogramação generaliza estruturas de código.</t>
  </si>
  <si>
    <t>D563</t>
  </si>
  <si>
    <t>Analisar o papel de algoritmos que produzem outros algoritmos.</t>
  </si>
  <si>
    <t>D564</t>
  </si>
  <si>
    <t>Analisar o papel de algoritmos que manipulam outros algoritmos.</t>
  </si>
  <si>
    <t>D565</t>
  </si>
  <si>
    <t>Identificar situações em que um programa pode gerar código.</t>
  </si>
  <si>
    <t>D566</t>
  </si>
  <si>
    <t>Identificar situações em que um programa pode modificar código.</t>
  </si>
  <si>
    <t>D567</t>
  </si>
  <si>
    <t>Compreender os benefícios da metaprogramação para a reutilização de soluções.</t>
  </si>
  <si>
    <t>D568</t>
  </si>
  <si>
    <t>Analisar implicações de usar metaprogramação em projetos de software.</t>
  </si>
  <si>
    <t>D569</t>
  </si>
  <si>
    <t>Distinguir metaprogramação de programação estática tradicional.</t>
  </si>
  <si>
    <t>D570</t>
  </si>
  <si>
    <t>Identificar características que diferenciam código gerado de código escrito manualmente.</t>
  </si>
  <si>
    <t>D359</t>
  </si>
  <si>
    <t>Compreender o conceito de Computação.</t>
  </si>
  <si>
    <t>D360</t>
  </si>
  <si>
    <t>Identificar os limites da Computação.</t>
  </si>
  <si>
    <t>D361</t>
  </si>
  <si>
    <t>Compreender os limites da Computação.</t>
  </si>
  <si>
    <t>D362</t>
  </si>
  <si>
    <t>Reconhecer possibilidades de automatização na Computação.</t>
  </si>
  <si>
    <t>D363</t>
  </si>
  <si>
    <t>Reconhecer limitações da automatização na Computação.</t>
  </si>
  <si>
    <t>D364</t>
  </si>
  <si>
    <t>Compreender os critérios que tornam uma tarefa automatizável na Computação.</t>
  </si>
  <si>
    <t>D365</t>
  </si>
  <si>
    <t>Reconhecer os processos mentais humanos relacionados à resolução de problemas.</t>
  </si>
  <si>
    <t>D366</t>
  </si>
  <si>
    <t>Diferenciar tarefas que podem ser automatizadas das que requerem processos mentais humanos.</t>
  </si>
  <si>
    <t>D367</t>
  </si>
  <si>
    <t>Analisar a relação entre processos mentais humanos e a resolução de problemas computacionais.</t>
  </si>
  <si>
    <t>D368</t>
  </si>
  <si>
    <t>Identificar características de softwares.</t>
  </si>
  <si>
    <t>D369</t>
  </si>
  <si>
    <t>Compreender características de softwares.</t>
  </si>
  <si>
    <t>D370</t>
  </si>
  <si>
    <t>Relacionar características de softwares a diferentes contextos de uso.</t>
  </si>
  <si>
    <t>D371</t>
  </si>
  <si>
    <t>Compreender métricas utilizadas para avaliar softwares.</t>
  </si>
  <si>
    <t>D372</t>
  </si>
  <si>
    <t>Analisar métricas de softwares em relação ao desempenho.</t>
  </si>
  <si>
    <t>D373</t>
  </si>
  <si>
    <t>Analisar métricas de softwares em relação à qualidade.</t>
  </si>
  <si>
    <t>D374</t>
  </si>
  <si>
    <t>Analisar métricas de softwares em relação à eficiência.</t>
  </si>
  <si>
    <t>D375</t>
  </si>
  <si>
    <t>Analisar softwares com base em suas características.</t>
  </si>
  <si>
    <t>D376</t>
  </si>
  <si>
    <t>Analisar softwares com base em suas métricas</t>
  </si>
  <si>
    <t>D571</t>
  </si>
  <si>
    <t>Identificar tecnologias empregadas em redes de computadores.</t>
  </si>
  <si>
    <t>D572</t>
  </si>
  <si>
    <t>Identificar equipamentos que compõem uma rede de computadores.</t>
  </si>
  <si>
    <t>D573</t>
  </si>
  <si>
    <t>Identificar protocolos de comunicação usados em redes de computadores.</t>
  </si>
  <si>
    <t>D574</t>
  </si>
  <si>
    <t>Identificar serviços de rede comuns (DNS, DHCP, HTTP).</t>
  </si>
  <si>
    <t>D575</t>
  </si>
  <si>
    <t>Compreender como diferentes tecnologias de rede influenciam sua escalabilidade.</t>
  </si>
  <si>
    <t>D576</t>
  </si>
  <si>
    <t>Compreender o papel de protocolos na garantia de confiabilidade das comunicações.</t>
  </si>
  <si>
    <t>D577</t>
  </si>
  <si>
    <t>Compreender como o dimensionamento de equipamentos afeta a capacidade de uma rede.</t>
  </si>
  <si>
    <t>D578</t>
  </si>
  <si>
    <t>Analisar fatores que impactam a escalabilidade de redes de computadores.</t>
  </si>
  <si>
    <t>D579</t>
  </si>
  <si>
    <t>Analisar elementos que afetam a confiabilidade de uma rede de computadores.</t>
  </si>
  <si>
    <t>D580</t>
  </si>
  <si>
    <t>Identificar fatores tecnológicos que afetam a segurança.</t>
  </si>
  <si>
    <t>D581</t>
  </si>
  <si>
    <t>Compreender o efeito de evoluções tecnológicas na proteção de dados.</t>
  </si>
  <si>
    <t>D582</t>
  </si>
  <si>
    <t>Identificar práticas de proteção da privacidade digital.</t>
  </si>
  <si>
    <t>D583</t>
  </si>
  <si>
    <t>Compreender boas práticas de segurança da informação.</t>
  </si>
  <si>
    <t>D584</t>
  </si>
  <si>
    <t>Identificar meios de comunicação para reporte de incidentes de segurança.</t>
  </si>
  <si>
    <t>D585</t>
  </si>
  <si>
    <t>Compreender a relevância do reporte de incidentes de segurança.</t>
  </si>
  <si>
    <t>D586</t>
  </si>
  <si>
    <t>Analisar sinais que indicam necessidade de suporte em segurança digital.</t>
  </si>
  <si>
    <t>D587</t>
  </si>
  <si>
    <t>Analisar práticas digitais que requerem atualização após inovações tecnológicas.</t>
  </si>
  <si>
    <t>D588</t>
  </si>
  <si>
    <t>Distinguir abordagens de segurança voltadas à proteção de dados.</t>
  </si>
  <si>
    <t>D589</t>
  </si>
  <si>
    <t>Identificar indícios de desatualização em medidas de segurança.</t>
  </si>
  <si>
    <t>D377</t>
  </si>
  <si>
    <t>Identificar tecnologias digitais utilizadas em diferentes atividades do mundo do trabalho.</t>
  </si>
  <si>
    <t>D378</t>
  </si>
  <si>
    <t>Identificar formas de uso das tecnologias digitais em diferentes atividades do mundo do trabalho.</t>
  </si>
  <si>
    <t>D379</t>
  </si>
  <si>
    <t>Compreender os impactos das tecnologias digitais nas formas de trabalho e nas exigências profissionais.</t>
  </si>
  <si>
    <t>D380</t>
  </si>
  <si>
    <t>Analisar usos de tecnologias digitais no mundo do trabalho.</t>
  </si>
  <si>
    <t>D381</t>
  </si>
  <si>
    <t>Relacionar tecnologias digitais a funções ou tarefas específicas em contextos profissionais.</t>
  </si>
  <si>
    <t>D382</t>
  </si>
  <si>
    <t>Compreender como o uso de tecnologias digitais transforma práticas profissionais.</t>
  </si>
  <si>
    <t>D590</t>
  </si>
  <si>
    <t>Identificar fundamentos da Inteligência Artificial.</t>
  </si>
  <si>
    <t>D591</t>
  </si>
  <si>
    <t>Distinguir inteligência artificial de inteligência humana.</t>
  </si>
  <si>
    <t>D592</t>
  </si>
  <si>
    <t>Compreender as potencialidades da Inteligência Artificial.</t>
  </si>
  <si>
    <t>D593</t>
  </si>
  <si>
    <t>Compreender riscos associados ao uso da Inteligência Artificial.</t>
  </si>
  <si>
    <t>D594</t>
  </si>
  <si>
    <t>Compreender limites da Inteligência Artificial.</t>
  </si>
  <si>
    <t>D595</t>
  </si>
  <si>
    <t>Analisar implicações éticas da Inteligência Artificial.</t>
  </si>
  <si>
    <t>D596</t>
  </si>
  <si>
    <t>Analisar impactos sociais causados pela adoção de sistemas de Inteligência Artificial.</t>
  </si>
  <si>
    <t>D383</t>
  </si>
  <si>
    <t>Identificar diferentes tipos de modelos computacionais simples.</t>
  </si>
  <si>
    <t>D384</t>
  </si>
  <si>
    <t>Reconhecer características de diferentes modelos computacionais simples.</t>
  </si>
  <si>
    <t>D385</t>
  </si>
  <si>
    <t>Analisar modelos computacionais simples.</t>
  </si>
  <si>
    <t>D386</t>
  </si>
  <si>
    <t>Compreender a importância de modelos computacionais simples para o desenvolvimento científico.</t>
  </si>
  <si>
    <t>D387</t>
  </si>
  <si>
    <t>Relacionar modelos computacionais simples a fenômenos que eles simulam ou ajudam a prever.</t>
  </si>
  <si>
    <t>D388</t>
  </si>
  <si>
    <t>Identificar princípios de ciência de dados.</t>
  </si>
  <si>
    <t>D389</t>
  </si>
  <si>
    <t>Compreender princípios de ciência de dados.</t>
  </si>
  <si>
    <t>D390</t>
  </si>
  <si>
    <t>Relacionar etapas da produção de informações aos princípios da ciência de dados.</t>
  </si>
  <si>
    <t>D391</t>
  </si>
  <si>
    <t>Compreender o processo de gestão de informações com base na ciência de dados.</t>
  </si>
  <si>
    <t>D392</t>
  </si>
  <si>
    <t>Compreender o compartilhamento de informações com base na ciência de dados.</t>
  </si>
  <si>
    <t>D393</t>
  </si>
  <si>
    <t>Analisar informações com base na ciência de dados.</t>
  </si>
  <si>
    <t>D394</t>
  </si>
  <si>
    <t>Analisar diferentes formas de apresentação de informações baseadas em dados.</t>
  </si>
  <si>
    <t>D395</t>
  </si>
  <si>
    <t>Analisar diferentes formas de compartilhamento de informações baseadas em dados.</t>
  </si>
  <si>
    <t>D396</t>
  </si>
  <si>
    <t>Reconhecer formas de representação de dados em formato digital.</t>
  </si>
  <si>
    <t>D397</t>
  </si>
  <si>
    <t>Compreender os critérios que orientam a escolha por formas de representação de dados em formato digital.</t>
  </si>
  <si>
    <t>D398</t>
  </si>
  <si>
    <t>Compreender o uso de diferentes formas de representação de dados em formato digital.</t>
  </si>
  <si>
    <t>D399</t>
  </si>
  <si>
    <t>Analisar formas de representação de dados em formato digital.</t>
  </si>
  <si>
    <t>D400</t>
  </si>
  <si>
    <t>Analisar a adequação das formas de representação de dados digitais no contexto de pesquisas científicas.</t>
  </si>
  <si>
    <t>D401</t>
  </si>
  <si>
    <t>Identificar formas de consulta a dados em formato digital.</t>
  </si>
  <si>
    <t>D402</t>
  </si>
  <si>
    <t>Compreender os critérios que orientam a escolha por formas de consulta a dados em formato digital.</t>
  </si>
  <si>
    <t>D403</t>
  </si>
  <si>
    <t>Compreender o uso de diferentes formas de consulta a dados em formato digital.</t>
  </si>
  <si>
    <t>D404</t>
  </si>
  <si>
    <t>Analisar a adequação das formas de consulta a dados digitais no contexto de pesquisas científicas.</t>
  </si>
  <si>
    <t>D405</t>
  </si>
  <si>
    <t>Relacionar tipos de dados a formas adequadas de representação ou consulta em formato digital.</t>
  </si>
  <si>
    <t>D597</t>
  </si>
  <si>
    <t>Identificar critérios de autoria em conteúdos digitais.</t>
  </si>
  <si>
    <t>D598</t>
  </si>
  <si>
    <t>Compreender estruturas comuns de apresentação de informações online.</t>
  </si>
  <si>
    <t>D599</t>
  </si>
  <si>
    <t>Identificar propósitos de mensagens veiculadas em meio digital.</t>
  </si>
  <si>
    <t>D600</t>
  </si>
  <si>
    <t>Analisar modos de construção de um texto ou mídia digital.</t>
  </si>
  <si>
    <t>D601</t>
  </si>
  <si>
    <t>Avaliar a confiabilidade de informações encontradas em ambiente digital.</t>
  </si>
  <si>
    <t>D602</t>
  </si>
  <si>
    <t>Distinguir fontes primárias de fontes secundárias na internet.</t>
  </si>
  <si>
    <t>D603</t>
  </si>
  <si>
    <t>Analisar indícios de viés em conteúdos digitais com base na autoria.</t>
  </si>
  <si>
    <t>D406</t>
  </si>
  <si>
    <t>Identificar formas de interação entre usuários e artefatos computacionais.</t>
  </si>
  <si>
    <t>D407</t>
  </si>
  <si>
    <t>Analisar a adequação das formas de interação entre usuários e artefatos computacionais.</t>
  </si>
  <si>
    <t>D408</t>
  </si>
  <si>
    <t>Analisar aspectos da experiência do usuário com artefatos computacionais.</t>
  </si>
  <si>
    <t>D409</t>
  </si>
  <si>
    <t>Compreender critérios que caracterizam uma boa experiência do usuário com artefatos computacionais.</t>
  </si>
  <si>
    <t>D410</t>
  </si>
  <si>
    <t>Reconhecer interações que promovem qualidade no uso de artefatos computacionais.</t>
  </si>
  <si>
    <t>D411</t>
  </si>
  <si>
    <t>Relacionar formas de uso de artefatos computacionais a diferentes esferas da vida.</t>
  </si>
  <si>
    <t>D412</t>
  </si>
  <si>
    <t>Analisar a qualidade do uso de artefatos computacionais em diferentes contextos de uso.</t>
  </si>
  <si>
    <t>D604</t>
  </si>
  <si>
    <t>Identificar componentes básicos de um sistema robótico.</t>
  </si>
  <si>
    <t>D605</t>
  </si>
  <si>
    <t>Compreender a função de sensores em um artefato robótico.</t>
  </si>
  <si>
    <t>D606</t>
  </si>
  <si>
    <t>Compreender a função de atuadores em um artefato robótico.</t>
  </si>
  <si>
    <t>D607</t>
  </si>
  <si>
    <t>Analisar diferenças entre uso de artefatos físicos e simuladores digitais.</t>
  </si>
  <si>
    <t>D608</t>
  </si>
  <si>
    <t>Identificar simuladores adequados para testes de projetos de robótica.</t>
  </si>
  <si>
    <t>D609</t>
  </si>
  <si>
    <t>Compreender etapas de planejamento de um projeto robótico.</t>
  </si>
  <si>
    <t>D610</t>
  </si>
  <si>
    <t>Analisar critérios para seleção de materiais em um projeto físico de robótica.</t>
  </si>
  <si>
    <t>D611</t>
  </si>
  <si>
    <t>Identificar sequência de comandos que permite a um robô cumprir uma tarefa.</t>
  </si>
  <si>
    <t>D612</t>
  </si>
  <si>
    <t>Identificar indicadores de desempenho em um projeto robótico em ambiente simulado.</t>
  </si>
  <si>
    <t>D413</t>
  </si>
  <si>
    <t>Reconhecer diferentes tipos de redes virtuais.</t>
  </si>
  <si>
    <t>D414</t>
  </si>
  <si>
    <t>Identificar ferramentas utilizadas no desenvolvimento de projetos em redes virtuais.</t>
  </si>
  <si>
    <t>D415</t>
  </si>
  <si>
    <t>Compreender o uso de ferramentas no desenvolvimento de projetos em redes virtuais.</t>
  </si>
  <si>
    <t>D416</t>
  </si>
  <si>
    <t>Compreender a forma de organização da colaboração em diferentes tipos de redes virtuais.</t>
  </si>
  <si>
    <t>D417</t>
  </si>
  <si>
    <t>Analisar formas de interação entre usuários em redes virtuais.</t>
  </si>
  <si>
    <t>D418</t>
  </si>
  <si>
    <t>Analisar estratégias de colaboração em redes virtuais.</t>
  </si>
  <si>
    <t>D419</t>
  </si>
  <si>
    <t>Reconhecer práticas seguras no uso de redes virtuais de colaboração.</t>
  </si>
  <si>
    <t>D420</t>
  </si>
  <si>
    <t>Compreender aspectos legais envolvidos na colaboração em redes virtuais.</t>
  </si>
  <si>
    <t>D421</t>
  </si>
  <si>
    <t>Compreender aspectos éticos envolvidos na colaboração em redes virtuais.</t>
  </si>
  <si>
    <t>D422</t>
  </si>
  <si>
    <t>Compreender o conceito de projetos colaborativos.</t>
  </si>
  <si>
    <t>D423</t>
  </si>
  <si>
    <t>Compreender formas de planejamento de projetos colaborativos.</t>
  </si>
  <si>
    <t>D424</t>
  </si>
  <si>
    <t>Analisar planejamentos de projetos colaborativos.</t>
  </si>
  <si>
    <t>D425</t>
  </si>
  <si>
    <t>Compreender formas de gerenciamento de projetos colaborativos.</t>
  </si>
  <si>
    <t>D426</t>
  </si>
  <si>
    <t>Analisar estratégias de gerenciamento em projetos colaborativos.</t>
  </si>
  <si>
    <t>D427</t>
  </si>
  <si>
    <t>Identificar soluções de problemas em projetos colaborativos.</t>
  </si>
  <si>
    <t>D428</t>
  </si>
  <si>
    <t>Analisar soluções de problemas aplicadas em projetos colaborativos.</t>
  </si>
  <si>
    <t>D429</t>
  </si>
  <si>
    <t>Identificar diferentes artefatos computacionais.</t>
  </si>
  <si>
    <t>D430</t>
  </si>
  <si>
    <t>Compreender o uso de artefatos computacionais na solução de problemas em projetos colaborativos.</t>
  </si>
  <si>
    <t>D431</t>
  </si>
  <si>
    <t>Analisar como artefatos computacionais são utilizados na solução de problemas em projetos colaborativos.</t>
  </si>
  <si>
    <t>D432</t>
  </si>
  <si>
    <t>Relacionar artefatos computacionais a tipos de problemas enfrentados em projetos colaborativos.</t>
  </si>
  <si>
    <t>D433</t>
  </si>
  <si>
    <t>Reconhecer formas de exposição de propostas, produtos ou serviços em mídias digitais.</t>
  </si>
  <si>
    <t>D434</t>
  </si>
  <si>
    <t>Identificar elementos estruturais de objetos digitais utilizados na exposição de propostas, produtos ou serviços.</t>
  </si>
  <si>
    <t>D435</t>
  </si>
  <si>
    <t>Compreender estratégias de argumentação em contextos digitais.</t>
  </si>
  <si>
    <t>D436</t>
  </si>
  <si>
    <t>Analisar como objetos digitais são utilizados para apoiar argumentos em contextos digitais.</t>
  </si>
  <si>
    <t>D437</t>
  </si>
  <si>
    <t>Compreender práticas de negociação em ambientes mediados por tecnologias digitais.</t>
  </si>
  <si>
    <t>D438</t>
  </si>
  <si>
    <t>Analisar como ferramentas digitais contribuem para a mediação de negociações.</t>
  </si>
  <si>
    <t>D439</t>
  </si>
  <si>
    <t>Identificar mídias e ferramentas digitais utilizadas na comunicação de propostas, produtos ou serviços.</t>
  </si>
  <si>
    <t>D440</t>
  </si>
  <si>
    <t>Relacionar a escolha de mídias digitais ao tipo de proposta, produto ou serviço a ser comunicado.</t>
  </si>
  <si>
    <t>D441</t>
  </si>
  <si>
    <t>Reconhecer formas de criação e publicação de conteúdo em ambientes virtuais.</t>
  </si>
  <si>
    <t>D442</t>
  </si>
  <si>
    <t>Compreender formas de disponibilização de conteúdo em ambientes virtuais.</t>
  </si>
  <si>
    <t>D443</t>
  </si>
  <si>
    <t>Identificar formas de compartilhamento de conteúdos em diferentes plataformas digitais.</t>
  </si>
  <si>
    <t>D444</t>
  </si>
  <si>
    <t>Analisar a circulação de informações em ambientes digitais.</t>
  </si>
  <si>
    <t>D445</t>
  </si>
  <si>
    <t>Reconhecer critérios para avaliar a confiabilidade de informações em ambientes digitais.</t>
  </si>
  <si>
    <t>D446</t>
  </si>
  <si>
    <t>Compreender as consequências da disseminação de informações não confiáveis.</t>
  </si>
  <si>
    <t>D447</t>
  </si>
  <si>
    <t>Analisar o impacto do compartilhamento de conteúdos digitais sobre indivíduos e comunidades.</t>
  </si>
  <si>
    <t>D448</t>
  </si>
  <si>
    <t>Relacionar a confiabilidade de um conteúdo às possíveis consequências de sua disseminação.</t>
  </si>
  <si>
    <t>D449</t>
  </si>
  <si>
    <t>Reconhecer formas de comunicar ideias complexas em meio digital.</t>
  </si>
  <si>
    <t>D450</t>
  </si>
  <si>
    <t>Analisar estratégias de comunicação de ideias complexas em objetos digitais.</t>
  </si>
  <si>
    <t>D451</t>
  </si>
  <si>
    <t>Reconhecer objetos digitais utilizados na comunicação de ideias.</t>
  </si>
  <si>
    <t>D452</t>
  </si>
  <si>
    <t>Identificar características de objetos digitais utilizados na comunicação de ideias.</t>
  </si>
  <si>
    <t>D453</t>
  </si>
  <si>
    <t>Compreender como objetos digitais organizam ideias complexas.</t>
  </si>
  <si>
    <t>D454</t>
  </si>
  <si>
    <t>Analisar o uso de objetos digitais na comunicação de ideias complexas.</t>
  </si>
  <si>
    <t>D455</t>
  </si>
  <si>
    <t>Relacionar tipos de ideias complexas a objetos digitais adequados para sua comunicação.</t>
  </si>
  <si>
    <t>D456</t>
  </si>
  <si>
    <t>Reconhecer diferentes mídias digitais.</t>
  </si>
  <si>
    <t>D457</t>
  </si>
  <si>
    <t>Compreender as possibilidades de uso de diferentes mídias digitais.</t>
  </si>
  <si>
    <t>D458</t>
  </si>
  <si>
    <t>Analisar o uso de diferentes mídias digitais.</t>
  </si>
  <si>
    <t>D459</t>
  </si>
  <si>
    <t>Reconhecer formas de integração entre diferentes mídias digitais.</t>
  </si>
  <si>
    <t>D460</t>
  </si>
  <si>
    <t>Reconhecer formas de produção de conteúdo nas mídias digitais.</t>
  </si>
  <si>
    <t>D461</t>
  </si>
  <si>
    <t>Analisar formas de produção de conteúdo nas mídias digitais.</t>
  </si>
  <si>
    <t>D462</t>
  </si>
  <si>
    <t>Identificar formas de publicação de conteúdo nas mídias digitais.</t>
  </si>
  <si>
    <t>D463</t>
  </si>
  <si>
    <t>Analisar formas de publicação de conteúdo nas mídias digitais.</t>
  </si>
  <si>
    <t>D464</t>
  </si>
  <si>
    <t>Relacionar estratégias de organização de mídias digitais à clareza na apresentação de conteúdos.</t>
  </si>
  <si>
    <t>D613</t>
  </si>
  <si>
    <t>Identificar características de diferentes tipos de comunidades virtuais.</t>
  </si>
  <si>
    <t>D614</t>
  </si>
  <si>
    <t>Compreender formas de interação comuns em ambientes online.</t>
  </si>
  <si>
    <t>D615</t>
  </si>
  <si>
    <t>Analisar impactos sociais gerados pela participação em comunidades virtuais.</t>
  </si>
  <si>
    <t>D616</t>
  </si>
  <si>
    <t>Identificar riscos associados à comunicação em comunidades virtuais.</t>
  </si>
  <si>
    <t>D617</t>
  </si>
  <si>
    <t>Compreender o papel da moderação em comunidades digitais.</t>
  </si>
  <si>
    <t>D618</t>
  </si>
  <si>
    <t>Compreender o papel da governança em comunidades digitais.</t>
  </si>
  <si>
    <t>D619</t>
  </si>
  <si>
    <t>Analisar implicações da anonimidade nas relações online.</t>
  </si>
  <si>
    <t>D620</t>
  </si>
  <si>
    <t>Distinguir relações sociais online das relações presenciais.</t>
  </si>
  <si>
    <t>D621</t>
  </si>
  <si>
    <t>Identificar impactos das redes sociais na saúde física dos usuários.</t>
  </si>
  <si>
    <t>D622</t>
  </si>
  <si>
    <t>Identificar efeitos de artefatos computacionais na qualidade do sono.</t>
  </si>
  <si>
    <t>D623</t>
  </si>
  <si>
    <t>Reconhecer consequências do uso excessivo de redes sociais para a saúde mental.</t>
  </si>
  <si>
    <t>D624</t>
  </si>
  <si>
    <t>Reconhecer sinais de estresse relacionados ao uso de plataformas digitais.</t>
  </si>
  <si>
    <t>D625</t>
  </si>
  <si>
    <t>Compreender mecanismos de interação em redes sociais que podem gerar ansiedade.</t>
  </si>
  <si>
    <t>D626</t>
  </si>
  <si>
    <t>Compreender fatores tecnológicos que contribuem para o sedentarismo digital.</t>
  </si>
  <si>
    <t>D627</t>
  </si>
  <si>
    <t>Analisar evidências de dependência digital em comunidades online.</t>
  </si>
  <si>
    <t>D628</t>
  </si>
  <si>
    <t>Distinguir entre uso saudável e uso prejudicial de artefatos computacionais.</t>
  </si>
  <si>
    <t>D629</t>
  </si>
  <si>
    <t>Analisar estratégias de autocuidado para mitigar impactos negativos da tecnologia.</t>
  </si>
  <si>
    <t>D630</t>
  </si>
  <si>
    <t>Identificar práticas seguras para diálogo em ambientes virtuais.</t>
  </si>
  <si>
    <t>D631</t>
  </si>
  <si>
    <t>Compreender a importância do respeito às diferenças culturais em conversas online.</t>
  </si>
  <si>
    <t>D632</t>
  </si>
  <si>
    <t>Identificar comportamentos que demonstram respeito à diversidade pessoal em ambientes digitais.</t>
  </si>
  <si>
    <t>D633</t>
  </si>
  <si>
    <t>Reconhecer atitudes abusivas em interações virtuais.</t>
  </si>
  <si>
    <t>D634</t>
  </si>
  <si>
    <t>Identificar canais ou procedimentos para denúncia de comportamentos abusivos online.</t>
  </si>
  <si>
    <t>D635</t>
  </si>
  <si>
    <t>Compreender as consequências do cyberbullying para as vítimas.</t>
  </si>
  <si>
    <t>D636</t>
  </si>
  <si>
    <t>Analisar impactos do discurso de ódio na convivência digital.</t>
  </si>
  <si>
    <t>D637</t>
  </si>
  <si>
    <t>Distinguir comunicação respeitosa de comunicação abusiva em redes sociais.</t>
  </si>
  <si>
    <t>D638</t>
  </si>
  <si>
    <t>Analisar eficácia dos mecanismos de denúncia em plataformas digitais.</t>
  </si>
  <si>
    <t>D465</t>
  </si>
  <si>
    <t>Compreender o conceito de direito digital.</t>
  </si>
  <si>
    <t>D466</t>
  </si>
  <si>
    <t>Identificar pressupostos do direito digital.</t>
  </si>
  <si>
    <t>D467</t>
  </si>
  <si>
    <t>Compreender pressupostos do direito digital.</t>
  </si>
  <si>
    <t>D468</t>
  </si>
  <si>
    <t>Analisar o uso de conceitos do direito digital na conduta cotidiana dos usuários.</t>
  </si>
  <si>
    <t>D469</t>
  </si>
  <si>
    <t>Analisar o uso de conceitos do direito digital na produção de conteúdo pelos usuários.</t>
  </si>
  <si>
    <t>D470</t>
  </si>
  <si>
    <t>Analisar o emprego de conceitos do direito digital no uso de artefatos computacionais.</t>
  </si>
  <si>
    <t>D471</t>
  </si>
  <si>
    <t>Reconhecer condutas compatíveis com os princípios do direito digital em contextos do cotidiano digital.</t>
  </si>
  <si>
    <t>D472</t>
  </si>
  <si>
    <t>Relacionar conceitos do direito digital a situações-problema da cultura digital contemporânea.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</si>
</sst>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name val="Calibri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7">
    <xf numFmtId="0" fontId="0" fillId="0" borderId="0" xfId="0"/>
    <xf numFmtId="0" fontId="4" fillId="0" borderId="0" xfId="0" applyFont="1"/>
    <xf numFmtId="0" fontId="5" fillId="0" borderId="0" xfId="1"/>
    <xf numFmtId="0" fontId="6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3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fiapcom.sharepoint.com/:x:/r/sites/Alura/_layouts/15/Doc.aspx?sourcedoc=%7B1969B230-5E76-4E73-BBEE-616636EDA2BB%7D&amp;file=%5B2025%5D%20Matriz%20de%20Refer%25u00eancia%20Start.xlsx&amp;action=default&amp;mobileredirect=true&amp;wdOrigin=TEAMS-MAGLEV.null_ns.rwc&amp;wdExp=TEAMS-TREATMENT&amp;wdhostclicktime=1770128789560&amp;web=1" TargetMode="External"/><Relationship Id="rId1" Type="http://schemas.openxmlformats.org/officeDocument/2006/relationships/hyperlink" Target="https://fiapcom.sharepoint.com/:x:/s/Alura/IQDomE9x_jxNVs2y1OZYVlvnAdx50CGguBRoXnIaqZPBrkM?e=a4SlaI&amp;wdOrigin=TEAMS-MAGLEV.null_ns.rwc&amp;wdExp=TEAMS-TREATMENT&amp;wdhostclicktime=1770128786532&amp;web=1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3F69F-4048-4D6E-848A-E2D6E93B9C59}">
  <dimension ref="A1:D3"/>
  <sheetViews>
    <sheetView tabSelected="1" workbookViewId="0">
      <selection activeCell="M10" sqref="M10"/>
    </sheetView>
  </sheetViews>
  <sheetFormatPr defaultRowHeight="15"/>
  <cols>
    <col min="1" max="1" width="17.5703125" customWidth="1"/>
    <col min="4" max="4" width="22.28515625" customWidth="1"/>
    <col min="7" max="7" width="9" customWidth="1"/>
  </cols>
  <sheetData>
    <row r="1" spans="1:4">
      <c r="A1" s="23" t="s">
        <v>0</v>
      </c>
      <c r="B1" s="24">
        <v>10</v>
      </c>
      <c r="D1" s="1" t="s">
        <v>1</v>
      </c>
    </row>
    <row r="2" spans="1:4">
      <c r="A2" s="23" t="s">
        <v>2</v>
      </c>
      <c r="B2" s="24">
        <v>68</v>
      </c>
      <c r="D2" s="2" t="s">
        <v>2</v>
      </c>
    </row>
    <row r="3" spans="1:4">
      <c r="A3" s="23" t="s">
        <v>3</v>
      </c>
      <c r="B3" s="24">
        <v>638</v>
      </c>
      <c r="D3" s="2" t="s">
        <v>3</v>
      </c>
    </row>
  </sheetData>
  <hyperlinks>
    <hyperlink ref="D2" r:id="rId1" xr:uid="{6E90C8F3-EC65-4E65-B627-F76237814743}"/>
    <hyperlink ref="D3" r:id="rId2" xr:uid="{D8433E91-CF5E-485D-B02D-17AD97AFEA51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opLeftCell="B1" workbookViewId="0">
      <selection activeCell="D2" sqref="D2"/>
    </sheetView>
  </sheetViews>
  <sheetFormatPr defaultRowHeight="15"/>
  <cols>
    <col min="1" max="1" width="13" style="30" customWidth="1"/>
    <col min="2" max="2" width="59.140625" style="28" customWidth="1"/>
    <col min="3" max="3" width="107.7109375" style="5" customWidth="1"/>
    <col min="4" max="4" width="94.28515625" style="5" customWidth="1"/>
    <col min="5" max="16384" width="9.140625" style="5"/>
  </cols>
  <sheetData>
    <row r="1" spans="1:5">
      <c r="A1" s="29" t="s">
        <v>4</v>
      </c>
      <c r="B1" s="26" t="s">
        <v>5</v>
      </c>
      <c r="C1" s="10" t="s">
        <v>6</v>
      </c>
      <c r="D1" s="31"/>
      <c r="E1" s="32"/>
    </row>
    <row r="2" spans="1:5">
      <c r="A2" s="33" t="s">
        <v>7</v>
      </c>
      <c r="B2" s="34" t="s">
        <v>8</v>
      </c>
      <c r="C2" s="32" t="s">
        <v>9</v>
      </c>
      <c r="D2" s="32" t="str">
        <f>"INSERT INTO SkillGroup(skill_bank_id, code, title, description) " &amp; CHAR(10) &amp;
"SELECT @skill_bank_id, '" &amp; A2 &amp; "', '" &amp; B2 &amp; "', '" &amp; SUBSTITUTE(C2, "'", "''") &amp; "' " &amp; CHAR(10) &amp;
"WHERE NOT EXISTS (" &amp; CHAR(10) &amp;
"    SELECT 1 FROM SkillGroup " &amp; CHAR(10) &amp;
"    WHERE skill_bank_id = @skill_bank_id " &amp; CHAR(10) &amp;
"      AND code = '" &amp; A2 &amp; "'" &amp; CHAR(10) &amp;
") " &amp; CHAR(10) &amp;
"AND SCHEMA() IN ('alura', 'aluraproduction');" &amp;
CHAR(10) &amp; CHAR(10) &amp;
"SET @skill_" &amp; A2 &amp; "_group_id = (" &amp; CHAR(10) &amp;
"    SELECT id FROM SkillGroup " &amp; CHAR(10) &amp;
"    WHERE skill_bank_id = @skill_bank_id " &amp; CHAR(10) &amp;
"      AND code = '" &amp; A2 &amp; "'" &amp; CHAR(10) &amp;
");"</f>
        <v>INSERT INTO SkillGroup(skill_bank_id, code, title, description) 
SELECT @skill_bank_id, 'CD', 'Cultura Digital', 'Usar a tecnologia de forma ética, segura e responsável.' 
WHERE NOT EXISTS (
    SELECT 1 FROM SkillGroup 
    WHERE skill_bank_id = @skill_bank_id 
      AND code = 'CD'
) 
AND SCHEMA() IN ('alura', 'aluraproduction');
SET @skill_CD_group_id = (
    SELECT id FROM SkillGroup 
    WHERE skill_bank_id = @skill_bank_id 
      AND code = 'CD'
);</v>
      </c>
      <c r="E2" s="32"/>
    </row>
    <row r="3" spans="1:5">
      <c r="A3" s="33" t="s">
        <v>10</v>
      </c>
      <c r="B3" s="34" t="s">
        <v>11</v>
      </c>
      <c r="C3" s="32" t="s">
        <v>12</v>
      </c>
      <c r="D3" s="32" t="str">
        <f t="shared" ref="D3:D11" si="0">"INSERT INTO SkillGroup(skill_bank_id, code, title, description) " &amp; CHAR(10) &amp;
"SELECT @skill_bank_id, '" &amp; A3 &amp; "', '" &amp; B3 &amp; "', '" &amp; SUBSTITUTE(C3, "'", "''") &amp; "' " &amp; CHAR(10) &amp;
"WHERE NOT EXISTS (" &amp; CHAR(10) &amp;
"    SELECT 1 FROM SkillGroup " &amp; CHAR(10) &amp;
"    WHERE skill_bank_id = @skill_bank_id " &amp; CHAR(10) &amp;
"      AND code = '" &amp; A3 &amp; "'" &amp; CHAR(10) &amp;
") " &amp; CHAR(10) &amp;
"AND SCHEMA() IN ('alura', 'aluraproduction');" &amp;
CHAR(10) &amp; CHAR(10) &amp;
"SET @skill_" &amp; A3 &amp; "_group_id = (" &amp; CHAR(10) &amp;
"    SELECT id FROM SkillGroup " &amp; CHAR(10) &amp;
"    WHERE skill_bank_id = @skill_bank_id " &amp; CHAR(10) &amp;
"      AND code = '" &amp; A3 &amp; "'" &amp; CHAR(10) &amp;
");"</f>
        <v>INSERT INTO SkillGroup(skill_bank_id, code, title, description) 
SELECT @skill_bank_id, 'MD', 'Mundo Digital', 'Compreender como as tecnologias digitais funcionam.' 
WHERE NOT EXISTS (
    SELECT 1 FROM SkillGroup 
    WHERE skill_bank_id = @skill_bank_id 
      AND code = 'MD'
) 
AND SCHEMA() IN ('alura', 'aluraproduction');
SET @skill_MD_group_id = (
    SELECT id FROM SkillGroup 
    WHERE skill_bank_id = @skill_bank_id 
      AND code = 'MD'
);</v>
      </c>
      <c r="E3" s="32"/>
    </row>
    <row r="4" spans="1:5">
      <c r="A4" s="33" t="s">
        <v>13</v>
      </c>
      <c r="B4" s="34" t="s">
        <v>14</v>
      </c>
      <c r="C4" s="32" t="s">
        <v>15</v>
      </c>
      <c r="D4" s="32" t="str">
        <f t="shared" si="0"/>
        <v>INSERT INTO SkillGroup(skill_bank_id, code, title, description) 
SELECT @skill_bank_id, 'PC', 'Pensamento Computacional', 'Resolver problemas de forma lógica e criativa.' 
WHERE NOT EXISTS (
    SELECT 1 FROM SkillGroup 
    WHERE skill_bank_id = @skill_bank_id 
      AND code = 'PC'
) 
AND SCHEMA() IN ('alura', 'aluraproduction');
SET @skill_PC_group_id = (
    SELECT id FROM SkillGroup 
    WHERE skill_bank_id = @skill_bank_id 
      AND code = 'PC'
);</v>
      </c>
      <c r="E4" s="32"/>
    </row>
    <row r="5" spans="1:5" ht="45.75">
      <c r="A5" s="33" t="s">
        <v>16</v>
      </c>
      <c r="B5" s="27" t="s">
        <v>17</v>
      </c>
      <c r="C5" s="31" t="s">
        <v>18</v>
      </c>
      <c r="D5" s="32" t="str">
        <f t="shared" si="0"/>
        <v>INSERT INTO SkillGroup(skill_bank_id, code, title, description) 
SELECT @skill_bank_id, 'C1', 'Compreender as possibilidades e os limites da Computação para resolver problemas', 'Compreender as possibilidades e os limites da Computação para resolver problemas, tanto em termos de viabilidade quanto de eficiência, propondo e analisando soluções computacionais para diversos domínios do conhecimento, considerando diferentes aspectos.' 
WHERE NOT EXISTS (
    SELECT 1 FROM SkillGroup 
    WHERE skill_bank_id = @skill_bank_id 
      AND code = 'C1'
) 
AND SCHEMA() IN ('alura', 'aluraproduction');
SET @skill_C1_group_id = (
    SELECT id FROM SkillGroup 
    WHERE skill_bank_id = @skill_bank_id 
      AND code = 'C1'
);</v>
      </c>
      <c r="E5" s="32"/>
    </row>
    <row r="6" spans="1:5" ht="45.75">
      <c r="A6" s="33" t="s">
        <v>19</v>
      </c>
      <c r="B6" s="25" t="s">
        <v>20</v>
      </c>
      <c r="C6" s="31" t="s">
        <v>21</v>
      </c>
      <c r="D6" s="32" t="str">
        <f t="shared" si="0"/>
        <v>INSERT INTO SkillGroup(skill_bank_id, code, title, description) 
SELECT @skill_bank_id, 'C2', 'Analisar criticamente artefatos computacionais, sendo capaz de identificar as vulnerabilidades dos ambientes e das soluções computacionais', 'Analisar criticamente artefatos computacionais, sendo capaz de identificar as vulnerabilidades dos ambientes e das soluções computacionais buscando garantir a integridade, privacidade, sigilo e segurança das informações.' 
WHERE NOT EXISTS (
    SELECT 1 FROM SkillGroup 
    WHERE skill_bank_id = @skill_bank_id 
      AND code = 'C2'
) 
AND SCHEMA() IN ('alura', 'aluraproduction');
SET @skill_C2_group_id = (
    SELECT id FROM SkillGroup 
    WHERE skill_bank_id = @skill_bank_id 
      AND code = 'C2'
);</v>
      </c>
      <c r="E6" s="32"/>
    </row>
    <row r="7" spans="1:5" ht="30.75">
      <c r="A7" s="33" t="s">
        <v>22</v>
      </c>
      <c r="B7" s="25" t="s">
        <v>23</v>
      </c>
      <c r="C7" s="31" t="s">
        <v>24</v>
      </c>
      <c r="D7" s="32" t="str">
        <f t="shared" si="0"/>
        <v>INSERT INTO SkillGroup(skill_bank_id, code, title, description) 
SELECT @skill_bank_id, 'C3', 'Analisar situações do mundo contemporâneo, selecionando técnicas computacionais apropriadas', 'Analisar situações do mundo contemporâneo, selecionando técnicas computacionais apropriadas para a solução de problemas.' 
WHERE NOT EXISTS (
    SELECT 1 FROM SkillGroup 
    WHERE skill_bank_id = @skill_bank_id 
      AND code = 'C3'
) 
AND SCHEMA() IN ('alura', 'aluraproduction');
SET @skill_C3_group_id = (
    SELECT id FROM SkillGroup 
    WHERE skill_bank_id = @skill_bank_id 
      AND code = 'C3'
);</v>
      </c>
      <c r="E7" s="32"/>
    </row>
    <row r="8" spans="1:5" ht="30.75">
      <c r="A8" s="33" t="s">
        <v>25</v>
      </c>
      <c r="B8" s="27" t="s">
        <v>26</v>
      </c>
      <c r="C8" s="31" t="s">
        <v>27</v>
      </c>
      <c r="D8" s="32" t="str">
        <f t="shared" si="0"/>
        <v>INSERT INTO SkillGroup(skill_bank_id, code, title, description) 
SELECT @skill_bank_id, 'C4', 'Construir conhecimento usando técnicas e tecnologias computacionais', 'Construir conhecimento usando técnicas e tecnologias computacionais, produzindo informação e/ou artefatos de forma criativa, com respeito às questões legais, que proporcionem experiências para si e os demais.' 
WHERE NOT EXISTS (
    SELECT 1 FROM SkillGroup 
    WHERE skill_bank_id = @skill_bank_id 
      AND code = 'C4'
) 
AND SCHEMA() IN ('alura', 'aluraproduction');
SET @skill_C4_group_id = (
    SELECT id FROM SkillGroup 
    WHERE skill_bank_id = @skill_bank_id 
      AND code = 'C4'
);</v>
      </c>
      <c r="E8" s="32"/>
    </row>
    <row r="9" spans="1:5" ht="45.75">
      <c r="A9" s="33" t="s">
        <v>28</v>
      </c>
      <c r="B9" s="27" t="s">
        <v>29</v>
      </c>
      <c r="C9" s="31" t="s">
        <v>30</v>
      </c>
      <c r="D9" s="32" t="str">
        <f t="shared" si="0"/>
        <v>INSERT INTO SkillGroup(skill_bank_id, code, title, description) 
SELECT @skill_bank_id, 'C5', 'Desenvolver projetos para investigar desafios do mundo contemporâneo', 'Desenvolver projetos para investigar desafios do mundo contemporâneo, construir soluções e tomar decisões éticas, democráticas e socialmente responsáveis, articulando conceitos, procedimentos e linguagens próprias da Computação de maneira colaborativa.' 
WHERE NOT EXISTS (
    SELECT 1 FROM SkillGroup 
    WHERE skill_bank_id = @skill_bank_id 
      AND code = 'C5'
) 
AND SCHEMA() IN ('alura', 'aluraproduction');
SET @skill_C5_group_id = (
    SELECT id FROM SkillGroup 
    WHERE skill_bank_id = @skill_bank_id 
      AND code = 'C5'
);</v>
      </c>
      <c r="E9" s="32"/>
    </row>
    <row r="10" spans="1:5" ht="30.75">
      <c r="A10" s="33" t="s">
        <v>31</v>
      </c>
      <c r="B10" s="27" t="s">
        <v>32</v>
      </c>
      <c r="C10" s="31" t="s">
        <v>33</v>
      </c>
      <c r="D10" s="32" t="str">
        <f t="shared" si="0"/>
        <v>INSERT INTO SkillGroup(skill_bank_id, code, title, description) 
SELECT @skill_bank_id, 'C6', 'Expressar e partilhar informações, ideias, sentimentos e soluções computacionais', 'Expressar e partilhar informações, ideias, sentimentos e soluções computacionais utilizando diferentes plataformas, ferramentas, linguagens e tecnologias da Computação de forma fluente, criativa, crítica, significativa, reflexiva e ética.' 
WHERE NOT EXISTS (
    SELECT 1 FROM SkillGroup 
    WHERE skill_bank_id = @skill_bank_id 
      AND code = 'C6'
) 
AND SCHEMA() IN ('alura', 'aluraproduction');
SET @skill_C6_group_id = (
    SELECT id FROM SkillGroup 
    WHERE skill_bank_id = @skill_bank_id 
      AND code = 'C6'
);</v>
      </c>
      <c r="E10" s="32"/>
    </row>
    <row r="11" spans="1:5" ht="45.75">
      <c r="A11" s="33" t="s">
        <v>34</v>
      </c>
      <c r="B11" s="27" t="s">
        <v>35</v>
      </c>
      <c r="C11" s="31" t="s">
        <v>36</v>
      </c>
      <c r="D11" s="32" t="str">
        <f t="shared" si="0"/>
        <v>INSERT INTO SkillGroup(skill_bank_id, code, title, description) 
SELECT @skill_bank_id, 'C7', 'Agir pessoal e coletivamente com respeito, autonomia, responsabilidade, flexibilidade, resiliência e determinação', 'Agir pessoal e coletivamente com respeito, autonomia, responsabilidade, flexibilidade, resiliência e determinação, identificando e reconhecendo seus direitos e deveres, recorrendo aos conhecimentos da Computação e suas tecnologias para tomar decisões frente às questões de diferentes naturezas.' 
WHERE NOT EXISTS (
    SELECT 1 FROM SkillGroup 
    WHERE skill_bank_id = @skill_bank_id 
      AND code = 'C7'
) 
AND SCHEMA() IN ('alura', 'aluraproduction');
SET @skill_C7_group_id = (
    SELECT id FROM SkillGroup 
    WHERE skill_bank_id = @skill_bank_id 
      AND code = 'C7'
);</v>
      </c>
      <c r="E11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C95D4-87B3-4426-8168-C665BCF9FD89}">
  <dimension ref="A1:D69"/>
  <sheetViews>
    <sheetView topLeftCell="A6" workbookViewId="0">
      <selection activeCell="A14" sqref="A14"/>
    </sheetView>
  </sheetViews>
  <sheetFormatPr defaultRowHeight="15"/>
  <cols>
    <col min="1" max="1" width="12.5703125" style="8" customWidth="1"/>
    <col min="2" max="2" width="105.85546875" style="9" customWidth="1"/>
    <col min="3" max="3" width="20.28515625" style="8" customWidth="1"/>
    <col min="4" max="4" width="170.140625" style="5" customWidth="1"/>
    <col min="5" max="16384" width="9.140625" style="5"/>
  </cols>
  <sheetData>
    <row r="1" spans="1:4">
      <c r="A1" s="3" t="s">
        <v>4</v>
      </c>
      <c r="B1" s="4" t="s">
        <v>5</v>
      </c>
      <c r="C1" s="3" t="s">
        <v>37</v>
      </c>
      <c r="D1" s="32"/>
    </row>
    <row r="2" spans="1:4">
      <c r="A2" s="6" t="s">
        <v>38</v>
      </c>
      <c r="B2" s="7" t="s">
        <v>39</v>
      </c>
      <c r="C2" s="35" t="s">
        <v>13</v>
      </c>
      <c r="D2" s="32" t="str">
        <f>"INSERT INTO Skill(code, title) " &amp; CHAR(10) &amp;
"SELECT '" &amp; A2 &amp; "', '" &amp; SUBSTITUTE(B2, "'", "''") &amp; "' " &amp; CHAR(10) &amp;
"WHERE NOT EXISTS (SELECT 1 FROM Skill WHERE code = '" &amp; A2 &amp; "') " &amp; CHAR(10) &amp;
"AND SCHEMA() IN ('alura', 'aluraproduction');" &amp;
CHAR(10) &amp; CHAR(10) &amp;
"SET @skill_" &amp; A2 &amp; "_id = (SELECT id FROM Skill WHERE code = '" &amp; A2 &amp; "');" &amp;
CHAR(10) &amp; CHAR(10) &amp;
"INSERT INTO Skill_SkillGroup(skill_group_id, skill_id) " &amp; CHAR(10) &amp;
"SELECT @skill_" &amp; C2 &amp; "_group_id, @skill_" &amp; A2 &amp; "_id " &amp; CHAR(10) &amp;
"WHERE SCHEMA() IN ('alura', 'aluraproduction');"</f>
        <v>INSERT INTO Skill(code, title) 
SELECT 'EF06CO01', 'Classificar informações, agrupando-as em coleções (conjuntos) e associando cada coleção a um ‘tipo de dados’' 
WHERE NOT EXISTS (SELECT 1 FROM Skill WHERE code = 'EF06CO01') 
AND SCHEMA() IN ('alura', 'aluraproduction');
SET @skill_EF06CO01_id = (SELECT id FROM Skill WHERE code = 'EF06CO01');
INSERT INTO Skill_SkillGroup(skill_group_id, skill_id) 
SELECT @skill_PC_group_id, @skill_EF06CO01_id 
WHERE SCHEMA() IN ('alura', 'aluraproduction');</v>
      </c>
    </row>
    <row r="3" spans="1:4" ht="30.75">
      <c r="A3" s="6" t="s">
        <v>40</v>
      </c>
      <c r="B3" s="7" t="s">
        <v>41</v>
      </c>
      <c r="C3" s="35" t="s">
        <v>13</v>
      </c>
      <c r="D3" s="32" t="str">
        <f t="shared" ref="D3:D66" si="0">"INSERT INTO Skill(code, title) " &amp; CHAR(10) &amp;
"SELECT '" &amp; A3 &amp; "', '" &amp; SUBSTITUTE(B3, "'", "''") &amp; "' " &amp; CHAR(10) &amp;
"WHERE NOT EXISTS (SELECT 1 FROM Skill WHERE code = '" &amp; A3 &amp; "') " &amp; CHAR(10) &amp;
"AND SCHEMA() IN ('alura', 'aluraproduction');" &amp;
CHAR(10) &amp; CHAR(10) &amp;
"SET @skill_" &amp; A3 &amp; "_id = (SELECT id FROM Skill WHERE code = '" &amp; A3 &amp; "');" &amp;
CHAR(10) &amp; CHAR(10) &amp;
"INSERT INTO Skill_SkillGroup(skill_group_id, skill_id) " &amp; CHAR(10) &amp;
"SELECT @skill_" &amp; C3 &amp; "_group_id, @skill_" &amp; A3 &amp; "_id " &amp; CHAR(10) &amp;
"WHERE SCHEMA() IN ('alura', 'aluraproduction');"</f>
        <v>INSERT INTO Skill(code, title) 
SELECT 'EF06CO02', 'Elaborar algoritmos que envolvam instruções sequenciais, de repetição e de seleção usando uma linguagem de programação.' 
WHERE NOT EXISTS (SELECT 1 FROM Skill WHERE code = 'EF06CO02') 
AND SCHEMA() IN ('alura', 'aluraproduction');
SET @skill_EF06CO02_id = (SELECT id FROM Skill WHERE code = 'EF06CO02');
INSERT INTO Skill_SkillGroup(skill_group_id, skill_id) 
SELECT @skill_PC_group_id, @skill_EF06CO02_id 
WHERE SCHEMA() IN ('alura', 'aluraproduction');</v>
      </c>
    </row>
    <row r="4" spans="1:4">
      <c r="A4" s="6" t="s">
        <v>42</v>
      </c>
      <c r="B4" s="7" t="s">
        <v>43</v>
      </c>
      <c r="C4" s="35" t="s">
        <v>13</v>
      </c>
      <c r="D4" s="32" t="str">
        <f t="shared" si="0"/>
        <v>INSERT INTO Skill(code, title) 
SELECT 'EF06CO03', 'Descrever com precisão a solução de um problema, construindo o programa que implementa a solução descrita.' 
WHERE NOT EXISTS (SELECT 1 FROM Skill WHERE code = 'EF06CO03') 
AND SCHEMA() IN ('alura', 'aluraproduction');
SET @skill_EF06CO03_id = (SELECT id FROM Skill WHERE code = 'EF06CO03');
INSERT INTO Skill_SkillGroup(skill_group_id, skill_id) 
SELECT @skill_PC_group_id, @skill_EF06CO03_id 
WHERE SCHEMA() IN ('alura', 'aluraproduction');</v>
      </c>
    </row>
    <row r="5" spans="1:4" ht="30.75">
      <c r="A5" s="6" t="s">
        <v>44</v>
      </c>
      <c r="B5" s="7" t="s">
        <v>45</v>
      </c>
      <c r="C5" s="35" t="s">
        <v>13</v>
      </c>
      <c r="D5" s="32" t="str">
        <f t="shared" si="0"/>
        <v>INSERT INTO Skill(code, title) 
SELECT 'EF06CO04', 'Construir soluções de problemas usando a técnica de decomposição e automatizar tais soluções usando uma linguagem de programação.' 
WHERE NOT EXISTS (SELECT 1 FROM Skill WHERE code = 'EF06CO04') 
AND SCHEMA() IN ('alura', 'aluraproduction');
SET @skill_EF06CO04_id = (SELECT id FROM Skill WHERE code = 'EF06CO04');
INSERT INTO Skill_SkillGroup(skill_group_id, skill_id) 
SELECT @skill_PC_group_id, @skill_EF06CO04_id 
WHERE SCHEMA() IN ('alura', 'aluraproduction');</v>
      </c>
    </row>
    <row r="6" spans="1:4" ht="45.75">
      <c r="A6" s="6" t="s">
        <v>46</v>
      </c>
      <c r="B6" s="7" t="s">
        <v>47</v>
      </c>
      <c r="C6" s="35" t="s">
        <v>13</v>
      </c>
      <c r="D6" s="32" t="str">
        <f t="shared" si="0"/>
        <v>INSERT INTO Skill(code, title) 
SELECT 'EF06CO05', 'Identificar os recursos ou insumos necessários (entradas) para a resolução de problemas, bem como os resultados esperados (saídas), determinando os respectivos tipos de dados, e estabelecendo a definição de problema como uma relação entre entrada e saída.' 
WHERE NOT EXISTS (SELECT 1 FROM Skill WHERE code = 'EF06CO05') 
AND SCHEMA() IN ('alura', 'aluraproduction');
SET @skill_EF06CO05_id = (SELECT id FROM Skill WHERE code = 'EF06CO05');
INSERT INTO Skill_SkillGroup(skill_group_id, skill_id) 
SELECT @skill_PC_group_id, @skill_EF06CO05_id 
WHERE SCHEMA() IN ('alura', 'aluraproduction');</v>
      </c>
    </row>
    <row r="7" spans="1:4" ht="45.75">
      <c r="A7" s="6" t="s">
        <v>48</v>
      </c>
      <c r="B7" s="7" t="s">
        <v>49</v>
      </c>
      <c r="C7" s="35" t="s">
        <v>13</v>
      </c>
      <c r="D7" s="32" t="str">
        <f t="shared" si="0"/>
        <v>INSERT INTO Skill(code, title) 
SELECT 'EF06CO06', 'Comparar diferentes casos particulares (instâncias) de um mesmo problema, identificando as semelhanças e diferenças entre eles, e criar um algoritmo para resolver todos, fazendo uso de variáveis (parâmetros) para permitir o tratamento de todos os casos de forma genérica.' 
WHERE NOT EXISTS (SELECT 1 FROM Skill WHERE code = 'EF06CO06') 
AND SCHEMA() IN ('alura', 'aluraproduction');
SET @skill_EF06CO06_id = (SELECT id FROM Skill WHERE code = 'EF06CO06');
INSERT INTO Skill_SkillGroup(skill_group_id, skill_id) 
SELECT @skill_PC_group_id, @skill_EF06CO06_id 
WHERE SCHEMA() IN ('alura', 'aluraproduction');</v>
      </c>
    </row>
    <row r="8" spans="1:4" ht="30.75">
      <c r="A8" s="6" t="s">
        <v>50</v>
      </c>
      <c r="B8" s="7" t="s">
        <v>51</v>
      </c>
      <c r="C8" s="35" t="s">
        <v>10</v>
      </c>
      <c r="D8" s="32" t="str">
        <f t="shared" si="0"/>
        <v>INSERT INTO Skill(code, title) 
SELECT 'EF06CO07', 'Entender o processo de transmissão de dados, como a informação é quebrada em pedaços, transmitida em pacotes através de múltiplos equipamentos, e reconstruída no destino' 
WHERE NOT EXISTS (SELECT 1 FROM Skill WHERE code = 'EF06CO07') 
AND SCHEMA() IN ('alura', 'aluraproduction');
SET @skill_EF06CO07_id = (SELECT id FROM Skill WHERE code = 'EF06CO07');
INSERT INTO Skill_SkillGroup(skill_group_id, skill_id) 
SELECT @skill_MD_group_id, @skill_EF06CO07_id 
WHERE SCHEMA() IN ('alura', 'aluraproduction');</v>
      </c>
    </row>
    <row r="9" spans="1:4" ht="30.75">
      <c r="A9" s="6" t="s">
        <v>52</v>
      </c>
      <c r="B9" s="7" t="s">
        <v>53</v>
      </c>
      <c r="C9" s="35" t="s">
        <v>10</v>
      </c>
      <c r="D9" s="32" t="str">
        <f t="shared" si="0"/>
        <v>INSERT INTO Skill(code, title) 
SELECT 'EF06CO08', 'Compreender e utilizar diferentes formas de armazenar, manipular, compactar e recuperar arquivos, documentos e metadados.' 
WHERE NOT EXISTS (SELECT 1 FROM Skill WHERE code = 'EF06CO08') 
AND SCHEMA() IN ('alura', 'aluraproduction');
SET @skill_EF06CO08_id = (SELECT id FROM Skill WHERE code = 'EF06CO08');
INSERT INTO Skill_SkillGroup(skill_group_id, skill_id) 
SELECT @skill_MD_group_id, @skill_EF06CO08_id 
WHERE SCHEMA() IN ('alura', 'aluraproduction');</v>
      </c>
    </row>
    <row r="10" spans="1:4">
      <c r="A10" s="6" t="s">
        <v>54</v>
      </c>
      <c r="B10" s="7" t="s">
        <v>55</v>
      </c>
      <c r="C10" s="35" t="s">
        <v>7</v>
      </c>
      <c r="D10" s="32" t="str">
        <f t="shared" si="0"/>
        <v>INSERT INTO Skill(code, title) 
SELECT 'EF06CO09', 'Apresentar conduta e linguagem apropriadas ao se comunicar em ambiente digital, considerando a ética e o respeito.' 
WHERE NOT EXISTS (SELECT 1 FROM Skill WHERE code = 'EF06CO09') 
AND SCHEMA() IN ('alura', 'aluraproduction');
SET @skill_EF06CO09_id = (SELECT id FROM Skill WHERE code = 'EF06CO09');
INSERT INTO Skill_SkillGroup(skill_group_id, skill_id) 
SELECT @skill_CD_group_id, @skill_EF06CO09_id 
WHERE SCHEMA() IN ('alura', 'aluraproduction');</v>
      </c>
    </row>
    <row r="11" spans="1:4" ht="30.75">
      <c r="A11" s="6" t="s">
        <v>56</v>
      </c>
      <c r="B11" s="7" t="s">
        <v>57</v>
      </c>
      <c r="C11" s="35" t="s">
        <v>7</v>
      </c>
      <c r="D11" s="32" t="str">
        <f t="shared" si="0"/>
        <v>INSERT INTO Skill(code, title) 
SELECT 'EF06CO10', 'Analisar o consumo de tecnologia na sociedade, compreendendo criticamente o caminho da produção dos recursos bem como aspectos ligados à obsolescência e a sustentabilidade.' 
WHERE NOT EXISTS (SELECT 1 FROM Skill WHERE code = 'EF06CO10') 
AND SCHEMA() IN ('alura', 'aluraproduction');
SET @skill_EF06CO10_id = (SELECT id FROM Skill WHERE code = 'EF06CO10');
INSERT INTO Skill_SkillGroup(skill_group_id, skill_id) 
SELECT @skill_CD_group_id, @skill_EF06CO10_id 
WHERE SCHEMA() IN ('alura', 'aluraproduction');</v>
      </c>
    </row>
    <row r="12" spans="1:4" ht="30.75">
      <c r="A12" s="6" t="s">
        <v>58</v>
      </c>
      <c r="B12" s="7" t="s">
        <v>59</v>
      </c>
      <c r="C12" s="35" t="s">
        <v>13</v>
      </c>
      <c r="D12" s="32" t="str">
        <f t="shared" si="0"/>
        <v>INSERT INTO Skill(code, title) 
SELECT 'EF07CO01', 'Criar soluções de problemas para os quais seja adequado o uso de registros e matrizes unidimensionais para descrever suas informações e automatizá-las usando uma linguagem de programação.' 
WHERE NOT EXISTS (SELECT 1 FROM Skill WHERE code = 'EF07CO01') 
AND SCHEMA() IN ('alura', 'aluraproduction');
SET @skill_EF07CO01_id = (SELECT id FROM Skill WHERE code = 'EF07CO01');
INSERT INTO Skill_SkillGroup(skill_group_id, skill_id) 
SELECT @skill_PC_group_id, @skill_EF07CO01_id 
WHERE SCHEMA() IN ('alura', 'aluraproduction');</v>
      </c>
    </row>
    <row r="13" spans="1:4">
      <c r="A13" s="6" t="s">
        <v>60</v>
      </c>
      <c r="B13" s="7" t="s">
        <v>61</v>
      </c>
      <c r="C13" s="35" t="s">
        <v>13</v>
      </c>
      <c r="D13" s="32" t="str">
        <f t="shared" si="0"/>
        <v>INSERT INTO Skill(code, title) 
SELECT 'EF07CO02', 'Analisar programas para detectar e remover erros, ampliando a confiança na sua correção.' 
WHERE NOT EXISTS (SELECT 1 FROM Skill WHERE code = 'EF07CO02') 
AND SCHEMA() IN ('alura', 'aluraproduction');
SET @skill_EF07CO02_id = (SELECT id FROM Skill WHERE code = 'EF07CO02');
INSERT INTO Skill_SkillGroup(skill_group_id, skill_id) 
SELECT @skill_PC_group_id, @skill_EF07CO02_id 
WHERE SCHEMA() IN ('alura', 'aluraproduction');</v>
      </c>
    </row>
    <row r="14" spans="1:4" ht="30.75">
      <c r="A14" s="6" t="s">
        <v>62</v>
      </c>
      <c r="B14" s="7" t="s">
        <v>63</v>
      </c>
      <c r="C14" s="35" t="s">
        <v>13</v>
      </c>
      <c r="D14" s="32" t="str">
        <f t="shared" si="0"/>
        <v>INSERT INTO Skill(code, title) 
SELECT 'EF07CO03', 'Construir soluções computacionais de problemas de diferentes áreas do conhecimento, de forma individual e colaborativa, selecionando as estruturas de dados e técnicas adequadas, aperfeiçoando e articulando saberes escolares.' 
WHERE NOT EXISTS (SELECT 1 FROM Skill WHERE code = 'EF07CO03') 
AND SCHEMA() IN ('alura', 'aluraproduction');
SET @skill_EF07CO03_id = (SELECT id FROM Skill WHERE code = 'EF07CO03');
INSERT INTO Skill_SkillGroup(skill_group_id, skill_id) 
SELECT @skill_PC_group_id, @skill_EF07CO03_id 
WHERE SCHEMA() IN ('alura', 'aluraproduction');</v>
      </c>
    </row>
    <row r="15" spans="1:4">
      <c r="A15" s="6" t="s">
        <v>64</v>
      </c>
      <c r="B15" s="7" t="s">
        <v>65</v>
      </c>
      <c r="C15" s="35" t="s">
        <v>13</v>
      </c>
      <c r="D15" s="32" t="str">
        <f t="shared" si="0"/>
        <v>INSERT INTO Skill(code, title) 
SELECT 'EF07CO04', 'Explorar propriedades básicas de grafos.' 
WHERE NOT EXISTS (SELECT 1 FROM Skill WHERE code = 'EF07CO04') 
AND SCHEMA() IN ('alura', 'aluraproduction');
SET @skill_EF07CO04_id = (SELECT id FROM Skill WHERE code = 'EF07CO04');
INSERT INTO Skill_SkillGroup(skill_group_id, skill_id) 
SELECT @skill_PC_group_id, @skill_EF07CO04_id 
WHERE SCHEMA() IN ('alura', 'aluraproduction');</v>
      </c>
    </row>
    <row r="16" spans="1:4" ht="30.75">
      <c r="A16" s="6" t="s">
        <v>66</v>
      </c>
      <c r="B16" s="7" t="s">
        <v>67</v>
      </c>
      <c r="C16" s="35" t="s">
        <v>13</v>
      </c>
      <c r="D16" s="32" t="str">
        <f t="shared" si="0"/>
        <v>INSERT INTO Skill(code, title) 
SELECT 'EF07CO05', 'Criar algoritmos fazendo uso da decomposição e do reúso no processo de solução de forma colaborativa e cooperativa e automatizá-los usando uma linguagem de programação.' 
WHERE NOT EXISTS (SELECT 1 FROM Skill WHERE code = 'EF07CO05') 
AND SCHEMA() IN ('alura', 'aluraproduction');
SET @skill_EF07CO05_id = (SELECT id FROM Skill WHERE code = 'EF07CO05');
INSERT INTO Skill_SkillGroup(skill_group_id, skill_id) 
SELECT @skill_PC_group_id, @skill_EF07CO05_id 
WHERE SCHEMA() IN ('alura', 'aluraproduction');</v>
      </c>
    </row>
    <row r="17" spans="1:4">
      <c r="A17" s="6" t="s">
        <v>68</v>
      </c>
      <c r="B17" s="7" t="s">
        <v>69</v>
      </c>
      <c r="C17" s="35" t="s">
        <v>10</v>
      </c>
      <c r="D17" s="32" t="str">
        <f t="shared" si="0"/>
        <v>INSERT INTO Skill(code, title) 
SELECT 'EF07CO06', 'Compreender o papel de protocolos para a transmissão de dados.' 
WHERE NOT EXISTS (SELECT 1 FROM Skill WHERE code = 'EF07CO06') 
AND SCHEMA() IN ('alura', 'aluraproduction');
SET @skill_EF07CO06_id = (SELECT id FROM Skill WHERE code = 'EF07CO06');
INSERT INTO Skill_SkillGroup(skill_group_id, skill_id) 
SELECT @skill_MD_group_id, @skill_EF07CO06_id 
WHERE SCHEMA() IN ('alura', 'aluraproduction');</v>
      </c>
    </row>
    <row r="18" spans="1:4">
      <c r="A18" s="6" t="s">
        <v>70</v>
      </c>
      <c r="B18" s="7" t="s">
        <v>71</v>
      </c>
      <c r="C18" s="35" t="s">
        <v>10</v>
      </c>
      <c r="D18" s="32" t="str">
        <f t="shared" si="0"/>
        <v>INSERT INTO Skill(code, title) 
SELECT 'EF07CO07', 'Identificar problemas de segurança cibernética e experimentar formas de proteção.' 
WHERE NOT EXISTS (SELECT 1 FROM Skill WHERE code = 'EF07CO07') 
AND SCHEMA() IN ('alura', 'aluraproduction');
SET @skill_EF07CO07_id = (SELECT id FROM Skill WHERE code = 'EF07CO07');
INSERT INTO Skill_SkillGroup(skill_group_id, skill_id) 
SELECT @skill_MD_group_id, @skill_EF07CO07_id 
WHERE SCHEMA() IN ('alura', 'aluraproduction');</v>
      </c>
    </row>
    <row r="19" spans="1:4">
      <c r="A19" s="6" t="s">
        <v>72</v>
      </c>
      <c r="B19" s="7" t="s">
        <v>73</v>
      </c>
      <c r="C19" s="35" t="s">
        <v>7</v>
      </c>
      <c r="D19" s="32" t="str">
        <f t="shared" si="0"/>
        <v>INSERT INTO Skill(code, title) 
SELECT 'EF07CO08', 'Demonstrar empatia sobre opiniões divergentes na web.' 
WHERE NOT EXISTS (SELECT 1 FROM Skill WHERE code = 'EF07CO08') 
AND SCHEMA() IN ('alura', 'aluraproduction');
SET @skill_EF07CO08_id = (SELECT id FROM Skill WHERE code = 'EF07CO08');
INSERT INTO Skill_SkillGroup(skill_group_id, skill_id) 
SELECT @skill_CD_group_id, @skill_EF07CO08_id 
WHERE SCHEMA() IN ('alura', 'aluraproduction');</v>
      </c>
    </row>
    <row r="20" spans="1:4">
      <c r="A20" s="6" t="s">
        <v>74</v>
      </c>
      <c r="B20" s="7" t="s">
        <v>75</v>
      </c>
      <c r="C20" s="35" t="s">
        <v>7</v>
      </c>
      <c r="D20" s="32" t="str">
        <f t="shared" si="0"/>
        <v>INSERT INTO Skill(code, title) 
SELECT 'EF07CO09', 'Reconhecer e debater sobre cyberbullying.' 
WHERE NOT EXISTS (SELECT 1 FROM Skill WHERE code = 'EF07CO09') 
AND SCHEMA() IN ('alura', 'aluraproduction');
SET @skill_EF07CO09_id = (SELECT id FROM Skill WHERE code = 'EF07CO09');
INSERT INTO Skill_SkillGroup(skill_group_id, skill_id) 
SELECT @skill_CD_group_id, @skill_EF07CO09_id 
WHERE SCHEMA() IN ('alura', 'aluraproduction');</v>
      </c>
    </row>
    <row r="21" spans="1:4" ht="30.75">
      <c r="A21" s="6" t="s">
        <v>76</v>
      </c>
      <c r="B21" s="7" t="s">
        <v>77</v>
      </c>
      <c r="C21" s="35" t="s">
        <v>7</v>
      </c>
      <c r="D21" s="32" t="str">
        <f t="shared" si="0"/>
        <v>INSERT INTO Skill(code, title) 
SELECT 'EF07CO10', 'Identificar os impactos ambientais do descarte de peças de computadores e eletrônicos, bem como sua relação com a sustentabilidade.' 
WHERE NOT EXISTS (SELECT 1 FROM Skill WHERE code = 'EF07CO10') 
AND SCHEMA() IN ('alura', 'aluraproduction');
SET @skill_EF07CO10_id = (SELECT id FROM Skill WHERE code = 'EF07CO10');
INSERT INTO Skill_SkillGroup(skill_group_id, skill_id) 
SELECT @skill_CD_group_id, @skill_EF07CO10_id 
WHERE SCHEMA() IN ('alura', 'aluraproduction');</v>
      </c>
    </row>
    <row r="22" spans="1:4" ht="30.75">
      <c r="A22" s="6" t="s">
        <v>78</v>
      </c>
      <c r="B22" s="7" t="s">
        <v>79</v>
      </c>
      <c r="C22" s="35" t="s">
        <v>7</v>
      </c>
      <c r="D22" s="32" t="str">
        <f t="shared" si="0"/>
        <v>INSERT INTO Skill(code, title) 
SELECT 'EF07CO11', 'Criar, documentar e publicar, de forma individual ou colaborativa, produtos (vídeos, podcasts, web sites) usando recursos de tecnologia.' 
WHERE NOT EXISTS (SELECT 1 FROM Skill WHERE code = 'EF07CO11') 
AND SCHEMA() IN ('alura', 'aluraproduction');
SET @skill_EF07CO11_id = (SELECT id FROM Skill WHERE code = 'EF07CO11');
INSERT INTO Skill_SkillGroup(skill_group_id, skill_id) 
SELECT @skill_CD_group_id, @skill_EF07CO11_id 
WHERE SCHEMA() IN ('alura', 'aluraproduction');</v>
      </c>
    </row>
    <row r="23" spans="1:4" ht="30.75">
      <c r="A23" s="6" t="s">
        <v>80</v>
      </c>
      <c r="B23" s="7" t="s">
        <v>81</v>
      </c>
      <c r="C23" s="35" t="s">
        <v>13</v>
      </c>
      <c r="D23" s="32" t="str">
        <f t="shared" si="0"/>
        <v>INSERT INTO Skill(code, title) 
SELECT 'EF08CO01', 'Construir soluções de problemas usando a técnica de recursão e automatizar tais soluções usando uma linguagem de programação.' 
WHERE NOT EXISTS (SELECT 1 FROM Skill WHERE code = 'EF08CO01') 
AND SCHEMA() IN ('alura', 'aluraproduction');
SET @skill_EF08CO01_id = (SELECT id FROM Skill WHERE code = 'EF08CO01');
INSERT INTO Skill_SkillGroup(skill_group_id, skill_id) 
SELECT @skill_PC_group_id, @skill_EF08CO01_id 
WHERE SCHEMA() IN ('alura', 'aluraproduction');</v>
      </c>
    </row>
    <row r="24" spans="1:4" ht="45.75">
      <c r="A24" s="6" t="s">
        <v>82</v>
      </c>
      <c r="B24" s="7" t="s">
        <v>83</v>
      </c>
      <c r="C24" s="35" t="s">
        <v>13</v>
      </c>
      <c r="D24" s="32" t="str">
        <f t="shared" si="0"/>
        <v>INSERT INTO Skill(code, title) 
SELECT 'EF08CO02', 'Criar soluções de problemas para os quais seja adequado o uso de listas para descrever suas informações e automatizá-las usando uma linguagem de programação, empregando ou não a recursão como uma técnica de resolver o problema.' 
WHERE NOT EXISTS (SELECT 1 FROM Skill WHERE code = 'EF08CO02') 
AND SCHEMA() IN ('alura', 'aluraproduction');
SET @skill_EF08CO02_id = (SELECT id FROM Skill WHERE code = 'EF08CO02');
INSERT INTO Skill_SkillGroup(skill_group_id, skill_id) 
SELECT @skill_PC_group_id, @skill_EF08CO02_id 
WHERE SCHEMA() IN ('alura', 'aluraproduction');</v>
      </c>
    </row>
    <row r="25" spans="1:4">
      <c r="A25" s="6" t="s">
        <v>84</v>
      </c>
      <c r="B25" s="7" t="s">
        <v>85</v>
      </c>
      <c r="C25" s="35" t="s">
        <v>13</v>
      </c>
      <c r="D25" s="32" t="str">
        <f t="shared" si="0"/>
        <v>INSERT INTO Skill(code, title) 
SELECT 'EF08CO03', 'Utilizar algoritmos clássicos de manipulação sobre listas.' 
WHERE NOT EXISTS (SELECT 1 FROM Skill WHERE code = 'EF08CO03') 
AND SCHEMA() IN ('alura', 'aluraproduction');
SET @skill_EF08CO03_id = (SELECT id FROM Skill WHERE code = 'EF08CO03');
INSERT INTO Skill_SkillGroup(skill_group_id, skill_id) 
SELECT @skill_PC_group_id, @skill_EF08CO03_id 
WHERE SCHEMA() IN ('alura', 'aluraproduction');</v>
      </c>
    </row>
    <row r="26" spans="1:4" ht="30.75">
      <c r="A26" s="6" t="s">
        <v>86</v>
      </c>
      <c r="B26" s="7" t="s">
        <v>63</v>
      </c>
      <c r="C26" s="35" t="s">
        <v>13</v>
      </c>
      <c r="D26" s="32" t="str">
        <f t="shared" si="0"/>
        <v>INSERT INTO Skill(code, title) 
SELECT 'EF08CO04', 'Construir soluções computacionais de problemas de diferentes áreas do conhecimento, de forma individual e colaborativa, selecionando as estruturas de dados e técnicas adequadas, aperfeiçoando e articulando saberes escolares.' 
WHERE NOT EXISTS (SELECT 1 FROM Skill WHERE code = 'EF08CO04') 
AND SCHEMA() IN ('alura', 'aluraproduction');
SET @skill_EF08CO04_id = (SELECT id FROM Skill WHERE code = 'EF08CO04');
INSERT INTO Skill_SkillGroup(skill_group_id, skill_id) 
SELECT @skill_PC_group_id, @skill_EF08CO04_id 
WHERE SCHEMA() IN ('alura', 'aluraproduction');</v>
      </c>
    </row>
    <row r="27" spans="1:4">
      <c r="A27" s="6" t="s">
        <v>87</v>
      </c>
      <c r="B27" s="7" t="s">
        <v>88</v>
      </c>
      <c r="C27" s="35" t="s">
        <v>10</v>
      </c>
      <c r="D27" s="32" t="str">
        <f t="shared" si="0"/>
        <v>INSERT INTO Skill(code, title) 
SELECT 'EF08CO05', 'Compreender os conceitos de paralelismo, concorrência e armazenamento/ processamento distribuídos.' 
WHERE NOT EXISTS (SELECT 1 FROM Skill WHERE code = 'EF08CO05') 
AND SCHEMA() IN ('alura', 'aluraproduction');
SET @skill_EF08CO05_id = (SELECT id FROM Skill WHERE code = 'EF08CO05');
INSERT INTO Skill_SkillGroup(skill_group_id, skill_id) 
SELECT @skill_MD_group_id, @skill_EF08CO05_id 
WHERE SCHEMA() IN ('alura', 'aluraproduction');</v>
      </c>
    </row>
    <row r="28" spans="1:4">
      <c r="A28" s="6" t="s">
        <v>89</v>
      </c>
      <c r="B28" s="7" t="s">
        <v>90</v>
      </c>
      <c r="C28" s="35" t="s">
        <v>10</v>
      </c>
      <c r="D28" s="32" t="str">
        <f t="shared" si="0"/>
        <v>INSERT INTO Skill(code, title) 
SELECT 'EF08CO06', 'Entender como é a estrutura e funcionamento da internet.' 
WHERE NOT EXISTS (SELECT 1 FROM Skill WHERE code = 'EF08CO06') 
AND SCHEMA() IN ('alura', 'aluraproduction');
SET @skill_EF08CO06_id = (SELECT id FROM Skill WHERE code = 'EF08CO06');
INSERT INTO Skill_SkillGroup(skill_group_id, skill_id) 
SELECT @skill_MD_group_id, @skill_EF08CO06_id 
WHERE SCHEMA() IN ('alura', 'aluraproduction');</v>
      </c>
    </row>
    <row r="29" spans="1:4" ht="30.75">
      <c r="A29" s="6" t="s">
        <v>91</v>
      </c>
      <c r="B29" s="7" t="s">
        <v>92</v>
      </c>
      <c r="C29" s="35" t="s">
        <v>7</v>
      </c>
      <c r="D29" s="32" t="str">
        <f t="shared" si="0"/>
        <v>INSERT INTO Skill(code, title) 
SELECT 'EF08CO07', 'Compartilhar informações por meio de redes sociais, compreendendo a sua dinâmica de funcionamento, de forma responsável e avaliando sua confiabilidade, considerando o respeito e a ética.' 
WHERE NOT EXISTS (SELECT 1 FROM Skill WHERE code = 'EF08CO07') 
AND SCHEMA() IN ('alura', 'aluraproduction');
SET @skill_EF08CO07_id = (SELECT id FROM Skill WHERE code = 'EF08CO07');
INSERT INTO Skill_SkillGroup(skill_group_id, skill_id) 
SELECT @skill_CD_group_id, @skill_EF08CO07_id 
WHERE SCHEMA() IN ('alura', 'aluraproduction');</v>
      </c>
    </row>
    <row r="30" spans="1:4">
      <c r="A30" s="6" t="s">
        <v>93</v>
      </c>
      <c r="B30" s="7" t="s">
        <v>94</v>
      </c>
      <c r="C30" s="35" t="s">
        <v>7</v>
      </c>
      <c r="D30" s="32" t="str">
        <f t="shared" si="0"/>
        <v>INSERT INTO Skill(code, title) 
SELECT 'EF08CO08', 'Distinguir os tipos de dados pessoais que são solicitados em espaços digitais e os riscos associados.' 
WHERE NOT EXISTS (SELECT 1 FROM Skill WHERE code = 'EF08CO08') 
AND SCHEMA() IN ('alura', 'aluraproduction');
SET @skill_EF08CO08_id = (SELECT id FROM Skill WHERE code = 'EF08CO08');
INSERT INTO Skill_SkillGroup(skill_group_id, skill_id) 
SELECT @skill_CD_group_id, @skill_EF08CO08_id 
WHERE SCHEMA() IN ('alura', 'aluraproduction');</v>
      </c>
    </row>
    <row r="31" spans="1:4">
      <c r="A31" s="6" t="s">
        <v>95</v>
      </c>
      <c r="B31" s="7" t="s">
        <v>96</v>
      </c>
      <c r="C31" s="35" t="s">
        <v>7</v>
      </c>
      <c r="D31" s="32" t="str">
        <f t="shared" si="0"/>
        <v>INSERT INTO Skill(code, title) 
SELECT 'EF08CO09', 'Analisar criticamente as políticas de termos de uso das redes sociais e demais plataformas' 
WHERE NOT EXISTS (SELECT 1 FROM Skill WHERE code = 'EF08CO09') 
AND SCHEMA() IN ('alura', 'aluraproduction');
SET @skill_EF08CO09_id = (SELECT id FROM Skill WHERE code = 'EF08CO09');
INSERT INTO Skill_SkillGroup(skill_group_id, skill_id) 
SELECT @skill_CD_group_id, @skill_EF08CO09_id 
WHERE SCHEMA() IN ('alura', 'aluraproduction');</v>
      </c>
    </row>
    <row r="32" spans="1:4">
      <c r="A32" s="6" t="s">
        <v>97</v>
      </c>
      <c r="B32" s="7" t="s">
        <v>98</v>
      </c>
      <c r="C32" s="35" t="s">
        <v>7</v>
      </c>
      <c r="D32" s="32" t="str">
        <f t="shared" si="0"/>
        <v>INSERT INTO Skill(code, title) 
SELECT 'EF08CO10', 'Discutir questões sobre segurança e privacidade relacionadas ao uso dos ambientes virtuais.' 
WHERE NOT EXISTS (SELECT 1 FROM Skill WHERE code = 'EF08CO10') 
AND SCHEMA() IN ('alura', 'aluraproduction');
SET @skill_EF08CO10_id = (SELECT id FROM Skill WHERE code = 'EF08CO10');
INSERT INTO Skill_SkillGroup(skill_group_id, skill_id) 
SELECT @skill_CD_group_id, @skill_EF08CO10_id 
WHERE SCHEMA() IN ('alura', 'aluraproduction');</v>
      </c>
    </row>
    <row r="33" spans="1:4">
      <c r="A33" s="6" t="s">
        <v>99</v>
      </c>
      <c r="B33" s="7" t="s">
        <v>100</v>
      </c>
      <c r="C33" s="35" t="s">
        <v>7</v>
      </c>
      <c r="D33" s="32" t="str">
        <f t="shared" si="0"/>
        <v>INSERT INTO Skill(code, title) 
SELECT 'EF08CO11', 'Avaliar a precisão, relevância, adequação, abrangência e vieses que ocorrem em fontes de informação eletrônica.' 
WHERE NOT EXISTS (SELECT 1 FROM Skill WHERE code = 'EF08CO11') 
AND SCHEMA() IN ('alura', 'aluraproduction');
SET @skill_EF08CO11_id = (SELECT id FROM Skill WHERE code = 'EF08CO11');
INSERT INTO Skill_SkillGroup(skill_group_id, skill_id) 
SELECT @skill_CD_group_id, @skill_EF08CO11_id 
WHERE SCHEMA() IN ('alura', 'aluraproduction');</v>
      </c>
    </row>
    <row r="34" spans="1:4" ht="30.75">
      <c r="A34" s="6" t="s">
        <v>101</v>
      </c>
      <c r="B34" s="7" t="s">
        <v>102</v>
      </c>
      <c r="C34" s="35" t="s">
        <v>13</v>
      </c>
      <c r="D34" s="32" t="str">
        <f t="shared" si="0"/>
        <v>INSERT INTO Skill(code, title) 
SELECT 'EF09CO01', 'Criar soluções de problemas para os quais seja adequado o uso de árvores e grafos para descrever suas informações e automatizá-las usando uma linguagem de programação.' 
WHERE NOT EXISTS (SELECT 1 FROM Skill WHERE code = 'EF09CO01') 
AND SCHEMA() IN ('alura', 'aluraproduction');
SET @skill_EF09CO01_id = (SELECT id FROM Skill WHERE code = 'EF09CO01');
INSERT INTO Skill_SkillGroup(skill_group_id, skill_id) 
SELECT @skill_PC_group_id, @skill_EF09CO01_id 
WHERE SCHEMA() IN ('alura', 'aluraproduction');</v>
      </c>
    </row>
    <row r="35" spans="1:4" ht="30.75">
      <c r="A35" s="6" t="s">
        <v>103</v>
      </c>
      <c r="B35" s="7" t="s">
        <v>63</v>
      </c>
      <c r="C35" s="35" t="s">
        <v>13</v>
      </c>
      <c r="D35" s="32" t="str">
        <f t="shared" si="0"/>
        <v>INSERT INTO Skill(code, title) 
SELECT 'EF09CO02', 'Construir soluções computacionais de problemas de diferentes áreas do conhecimento, de forma individual e colaborativa, selecionando as estruturas de dados e técnicas adequadas, aperfeiçoando e articulando saberes escolares.' 
WHERE NOT EXISTS (SELECT 1 FROM Skill WHERE code = 'EF09CO02') 
AND SCHEMA() IN ('alura', 'aluraproduction');
SET @skill_EF09CO02_id = (SELECT id FROM Skill WHERE code = 'EF09CO02');
INSERT INTO Skill_SkillGroup(skill_group_id, skill_id) 
SELECT @skill_PC_group_id, @skill_EF09CO02_id 
WHERE SCHEMA() IN ('alura', 'aluraproduction');</v>
      </c>
    </row>
    <row r="36" spans="1:4" ht="30.75">
      <c r="A36" s="6" t="s">
        <v>104</v>
      </c>
      <c r="B36" s="7" t="s">
        <v>105</v>
      </c>
      <c r="C36" s="35" t="s">
        <v>13</v>
      </c>
      <c r="D36" s="32" t="str">
        <f t="shared" si="0"/>
        <v>INSERT INTO Skill(code, title) 
SELECT 'EF09CO03', 'Usar autômatos para descrever comportamentos de forma abstrata automatizando-os através de uma linguagem de programação baseada em eventos.' 
WHERE NOT EXISTS (SELECT 1 FROM Skill WHERE code = 'EF09CO03') 
AND SCHEMA() IN ('alura', 'aluraproduction');
SET @skill_EF09CO03_id = (SELECT id FROM Skill WHERE code = 'EF09CO03');
INSERT INTO Skill_SkillGroup(skill_group_id, skill_id) 
SELECT @skill_PC_group_id, @skill_EF09CO03_id 
WHERE SCHEMA() IN ('alura', 'aluraproduction');</v>
      </c>
    </row>
    <row r="37" spans="1:4">
      <c r="A37" s="6" t="s">
        <v>106</v>
      </c>
      <c r="B37" s="7" t="s">
        <v>107</v>
      </c>
      <c r="C37" s="35" t="s">
        <v>10</v>
      </c>
      <c r="D37" s="32" t="str">
        <f t="shared" si="0"/>
        <v>INSERT INTO Skill(code, title) 
SELECT 'EF09CO04', 'Compreender o funcionamento de malwares e outros ataques cibernéticos.' 
WHERE NOT EXISTS (SELECT 1 FROM Skill WHERE code = 'EF09CO04') 
AND SCHEMA() IN ('alura', 'aluraproduction');
SET @skill_EF09CO04_id = (SELECT id FROM Skill WHERE code = 'EF09CO04');
INSERT INTO Skill_SkillGroup(skill_group_id, skill_id) 
SELECT @skill_MD_group_id, @skill_EF09CO04_id 
WHERE SCHEMA() IN ('alura', 'aluraproduction');</v>
      </c>
    </row>
    <row r="38" spans="1:4">
      <c r="A38" s="6" t="s">
        <v>108</v>
      </c>
      <c r="B38" s="7" t="s">
        <v>109</v>
      </c>
      <c r="C38" s="35" t="s">
        <v>10</v>
      </c>
      <c r="D38" s="32" t="str">
        <f t="shared" si="0"/>
        <v>INSERT INTO Skill(code, title) 
SELECT 'EF09CO05', 'Analisar técnicas de criptografia para armazenamento e transmissão de dados.' 
WHERE NOT EXISTS (SELECT 1 FROM Skill WHERE code = 'EF09CO05') 
AND SCHEMA() IN ('alura', 'aluraproduction');
SET @skill_EF09CO05_id = (SELECT id FROM Skill WHERE code = 'EF09CO05');
INSERT INTO Skill_SkillGroup(skill_group_id, skill_id) 
SELECT @skill_MD_group_id, @skill_EF09CO05_id 
WHERE SCHEMA() IN ('alura', 'aluraproduction');</v>
      </c>
    </row>
    <row r="39" spans="1:4">
      <c r="A39" s="6" t="s">
        <v>110</v>
      </c>
      <c r="B39" s="7" t="s">
        <v>111</v>
      </c>
      <c r="C39" s="35" t="s">
        <v>7</v>
      </c>
      <c r="D39" s="32" t="str">
        <f t="shared" si="0"/>
        <v>INSERT INTO Skill(code, title) 
SELECT 'EF09CO06', 'Analisar problemas sociais de sua cidade e estado a partir de ambientes digitais, propondo soluções' 
WHERE NOT EXISTS (SELECT 1 FROM Skill WHERE code = 'EF09CO06') 
AND SCHEMA() IN ('alura', 'aluraproduction');
SET @skill_EF09CO06_id = (SELECT id FROM Skill WHERE code = 'EF09CO06');
INSERT INTO Skill_SkillGroup(skill_group_id, skill_id) 
SELECT @skill_CD_group_id, @skill_EF09CO06_id 
WHERE SCHEMA() IN ('alura', 'aluraproduction');</v>
      </c>
    </row>
    <row r="40" spans="1:4" ht="30.75">
      <c r="A40" s="6" t="s">
        <v>112</v>
      </c>
      <c r="B40" s="7" t="s">
        <v>113</v>
      </c>
      <c r="C40" s="35" t="s">
        <v>7</v>
      </c>
      <c r="D40" s="32" t="str">
        <f t="shared" si="0"/>
        <v>INSERT INTO Skill(code, title) 
SELECT 'EF09CO07', 'Avaliar aplicações e implicações políticas, socioambientais e culturais das tecnologias digitais para propor alternativas aos desafios do mundo contemporâneo, incluindo aqueles relativos ao mundo do trabalho.' 
WHERE NOT EXISTS (SELECT 1 FROM Skill WHERE code = 'EF09CO07') 
AND SCHEMA() IN ('alura', 'aluraproduction');
SET @skill_EF09CO07_id = (SELECT id FROM Skill WHERE code = 'EF09CO07');
INSERT INTO Skill_SkillGroup(skill_group_id, skill_id) 
SELECT @skill_CD_group_id, @skill_EF09CO07_id 
WHERE SCHEMA() IN ('alura', 'aluraproduction');</v>
      </c>
    </row>
    <row r="41" spans="1:4" ht="30.75">
      <c r="A41" s="6" t="s">
        <v>114</v>
      </c>
      <c r="B41" s="7" t="s">
        <v>115</v>
      </c>
      <c r="C41" s="35" t="s">
        <v>7</v>
      </c>
      <c r="D41" s="32" t="str">
        <f t="shared" si="0"/>
        <v>INSERT INTO Skill(code, title) 
SELECT 'EF09CO08', 'Discutir como a distribuição desigual de recursos de computação em uma economia global levanta questões de equidade, acesso e poder.' 
WHERE NOT EXISTS (SELECT 1 FROM Skill WHERE code = 'EF09CO08') 
AND SCHEMA() IN ('alura', 'aluraproduction');
SET @skill_EF09CO08_id = (SELECT id FROM Skill WHERE code = 'EF09CO08');
INSERT INTO Skill_SkillGroup(skill_group_id, skill_id) 
SELECT @skill_CD_group_id, @skill_EF09CO08_id 
WHERE SCHEMA() IN ('alura', 'aluraproduction');</v>
      </c>
    </row>
    <row r="42" spans="1:4" ht="30.75">
      <c r="A42" s="6" t="s">
        <v>116</v>
      </c>
      <c r="B42" s="7" t="s">
        <v>117</v>
      </c>
      <c r="C42" s="35" t="s">
        <v>7</v>
      </c>
      <c r="D42" s="32" t="str">
        <f t="shared" si="0"/>
        <v>INSERT INTO Skill(code, title) 
SELECT 'EF09CO09', 'Criar ou utilizar conteúdo em meio digital, compreendendo questões éticas relacionadas a direitos autorais e de uso de imagem.' 
WHERE NOT EXISTS (SELECT 1 FROM Skill WHERE code = 'EF09CO09') 
AND SCHEMA() IN ('alura', 'aluraproduction');
SET @skill_EF09CO09_id = (SELECT id FROM Skill WHERE code = 'EF09CO09');
INSERT INTO Skill_SkillGroup(skill_group_id, skill_id) 
SELECT @skill_CD_group_id, @skill_EF09CO09_id 
WHERE SCHEMA() IN ('alura', 'aluraproduction');</v>
      </c>
    </row>
    <row r="43" spans="1:4" ht="30.75">
      <c r="A43" s="6" t="s">
        <v>118</v>
      </c>
      <c r="B43" s="7" t="s">
        <v>119</v>
      </c>
      <c r="C43" s="35" t="s">
        <v>7</v>
      </c>
      <c r="D43" s="32" t="str">
        <f t="shared" si="0"/>
        <v>INSERT INTO Skill(code, title) 
SELECT 'EF09CO10', 'Avaliar a veracidade, credibilidade e relevância da informação em seus diferentes formatos, sendo capaz de identificar o propósito pelo qual foi disseminada.' 
WHERE NOT EXISTS (SELECT 1 FROM Skill WHERE code = 'EF09CO10') 
AND SCHEMA() IN ('alura', 'aluraproduction');
SET @skill_EF09CO10_id = (SELECT id FROM Skill WHERE code = 'EF09CO10');
INSERT INTO Skill_SkillGroup(skill_group_id, skill_id) 
SELECT @skill_CD_group_id, @skill_EF09CO10_id 
WHERE SCHEMA() IN ('alura', 'aluraproduction');</v>
      </c>
    </row>
    <row r="44" spans="1:4">
      <c r="A44" s="6" t="s">
        <v>120</v>
      </c>
      <c r="B44" s="7" t="s">
        <v>121</v>
      </c>
      <c r="C44" s="35" t="s">
        <v>16</v>
      </c>
      <c r="D44" s="32" t="str">
        <f t="shared" si="0"/>
        <v>INSERT INTO Skill(code, title) 
SELECT 'EM13CO01', 'Explorar e construir a solução de problemas por meio da reutilização de partes de soluções existentes.' 
WHERE NOT EXISTS (SELECT 1 FROM Skill WHERE code = 'EM13CO01') 
AND SCHEMA() IN ('alura', 'aluraproduction');
SET @skill_EM13CO01_id = (SELECT id FROM Skill WHERE code = 'EM13CO01');
INSERT INTO Skill_SkillGroup(skill_group_id, skill_id) 
SELECT @skill_C1_group_id, @skill_EM13CO01_id 
WHERE SCHEMA() IN ('alura', 'aluraproduction');</v>
      </c>
    </row>
    <row r="45" spans="1:4" ht="30.75">
      <c r="A45" s="6" t="s">
        <v>122</v>
      </c>
      <c r="B45" s="7" t="s">
        <v>123</v>
      </c>
      <c r="C45" s="35" t="s">
        <v>16</v>
      </c>
      <c r="D45" s="32" t="str">
        <f t="shared" si="0"/>
        <v>INSERT INTO Skill(code, title) 
SELECT 'EM13CO02', 'Explorar e construir a solução de problemas por meio de refinamentos, utilizando diversos níveis de abstração desde a especificação até a implementação.' 
WHERE NOT EXISTS (SELECT 1 FROM Skill WHERE code = 'EM13CO02') 
AND SCHEMA() IN ('alura', 'aluraproduction');
SET @skill_EM13CO02_id = (SELECT id FROM Skill WHERE code = 'EM13CO02');
INSERT INTO Skill_SkillGroup(skill_group_id, skill_id) 
SELECT @skill_C1_group_id, @skill_EM13CO02_id 
WHERE SCHEMA() IN ('alura', 'aluraproduction');</v>
      </c>
    </row>
    <row r="46" spans="1:4" ht="30.75">
      <c r="A46" s="6" t="s">
        <v>124</v>
      </c>
      <c r="B46" s="7" t="s">
        <v>125</v>
      </c>
      <c r="C46" s="35" t="s">
        <v>16</v>
      </c>
      <c r="D46" s="32" t="str">
        <f t="shared" si="0"/>
        <v>INSERT INTO Skill(code, title) 
SELECT 'EM13CO03', 'Identificar o comportamento dos algoritmos no que diz respeito ao consumo de recursos como tempo de execução, espaço de memória e energia, entre outros.' 
WHERE NOT EXISTS (SELECT 1 FROM Skill WHERE code = 'EM13CO03') 
AND SCHEMA() IN ('alura', 'aluraproduction');
SET @skill_EM13CO03_id = (SELECT id FROM Skill WHERE code = 'EM13CO03');
INSERT INTO Skill_SkillGroup(skill_group_id, skill_id) 
SELECT @skill_C1_group_id, @skill_EM13CO03_id 
WHERE SCHEMA() IN ('alura', 'aluraproduction');</v>
      </c>
    </row>
    <row r="47" spans="1:4" ht="30.75">
      <c r="A47" s="6" t="s">
        <v>126</v>
      </c>
      <c r="B47" s="7" t="s">
        <v>127</v>
      </c>
      <c r="C47" s="35" t="s">
        <v>16</v>
      </c>
      <c r="D47" s="32" t="str">
        <f t="shared" si="0"/>
        <v>INSERT INTO Skill(code, title) 
SELECT 'EM13CO04', 'Reconhecer o conceito de metaprogramação como uma forma de generalização na construção de programas, permitindo que algoritmos sejam entrada ou saída para outros algoritmos.' 
WHERE NOT EXISTS (SELECT 1 FROM Skill WHERE code = 'EM13CO04') 
AND SCHEMA() IN ('alura', 'aluraproduction');
SET @skill_EM13CO04_id = (SELECT id FROM Skill WHERE code = 'EM13CO04');
INSERT INTO Skill_SkillGroup(skill_group_id, skill_id) 
SELECT @skill_C1_group_id, @skill_EM13CO04_id 
WHERE SCHEMA() IN ('alura', 'aluraproduction');</v>
      </c>
    </row>
    <row r="48" spans="1:4" ht="30.75">
      <c r="A48" s="6" t="s">
        <v>128</v>
      </c>
      <c r="B48" s="7" t="s">
        <v>129</v>
      </c>
      <c r="C48" s="35" t="s">
        <v>16</v>
      </c>
      <c r="D48" s="32" t="str">
        <f t="shared" si="0"/>
        <v>INSERT INTO Skill(code, title) 
SELECT 'EM13CO05', 'Identificar os limites da Computação para diferenciar o que pode ou não ser automatizado, buscando uma compreensão mais ampla dos limites dos processos mentais envolvidos na resolução de problemas.' 
WHERE NOT EXISTS (SELECT 1 FROM Skill WHERE code = 'EM13CO05') 
AND SCHEMA() IN ('alura', 'aluraproduction');
SET @skill_EM13CO05_id = (SELECT id FROM Skill WHERE code = 'EM13CO05');
INSERT INTO Skill_SkillGroup(skill_group_id, skill_id) 
SELECT @skill_C1_group_id, @skill_EM13CO05_id 
WHERE SCHEMA() IN ('alura', 'aluraproduction');</v>
      </c>
    </row>
    <row r="49" spans="1:4">
      <c r="A49" s="6" t="s">
        <v>130</v>
      </c>
      <c r="B49" s="7" t="s">
        <v>131</v>
      </c>
      <c r="C49" s="35" t="s">
        <v>16</v>
      </c>
      <c r="D49" s="32" t="str">
        <f t="shared" si="0"/>
        <v>INSERT INTO Skill(code, title) 
SELECT 'EM13CO06', 'Avaliar software levando em consideração diferentes características e métricas associadas.' 
WHERE NOT EXISTS (SELECT 1 FROM Skill WHERE code = 'EM13CO06') 
AND SCHEMA() IN ('alura', 'aluraproduction');
SET @skill_EM13CO06_id = (SELECT id FROM Skill WHERE code = 'EM13CO06');
INSERT INTO Skill_SkillGroup(skill_group_id, skill_id) 
SELECT @skill_C1_group_id, @skill_EM13CO06_id 
WHERE SCHEMA() IN ('alura', 'aluraproduction');</v>
      </c>
    </row>
    <row r="50" spans="1:4" ht="30.75">
      <c r="A50" s="6" t="s">
        <v>132</v>
      </c>
      <c r="B50" s="7" t="s">
        <v>133</v>
      </c>
      <c r="C50" s="35" t="s">
        <v>19</v>
      </c>
      <c r="D50" s="32" t="str">
        <f t="shared" si="0"/>
        <v>INSERT INTO Skill(code, title) 
SELECT 'EM13CO07', 'Compreender as diferentes tecnologias, bem como equipamentos, protocolos e serviços envolvidos no funcionamento de redes de computadores, identificando suas possibilidades de escala e confiabilidade.' 
WHERE NOT EXISTS (SELECT 1 FROM Skill WHERE code = 'EM13CO07') 
AND SCHEMA() IN ('alura', 'aluraproduction');
SET @skill_EM13CO07_id = (SELECT id FROM Skill WHERE code = 'EM13CO07');
INSERT INTO Skill_SkillGroup(skill_group_id, skill_id) 
SELECT @skill_C2_group_id, @skill_EM13CO07_id 
WHERE SCHEMA() IN ('alura', 'aluraproduction');</v>
      </c>
    </row>
    <row r="51" spans="1:4" ht="30.75">
      <c r="A51" s="6" t="s">
        <v>134</v>
      </c>
      <c r="B51" s="7" t="s">
        <v>135</v>
      </c>
      <c r="C51" s="35" t="s">
        <v>19</v>
      </c>
      <c r="D51" s="32" t="str">
        <f t="shared" si="0"/>
        <v>INSERT INTO Skill(code, title) 
SELECT 'EM13CO08', 'Entender como mudanças na tecnologia afetam a segurança, incluindo novas maneiras de preservar sua privacidade e dados pessoais on-line, reportando suspeitas e buscando ajuda em situações de risco.' 
WHERE NOT EXISTS (SELECT 1 FROM Skill WHERE code = 'EM13CO08') 
AND SCHEMA() IN ('alura', 'aluraproduction');
SET @skill_EM13CO08_id = (SELECT id FROM Skill WHERE code = 'EM13CO08');
INSERT INTO Skill_SkillGroup(skill_group_id, skill_id) 
SELECT @skill_C2_group_id, @skill_EM13CO08_id 
WHERE SCHEMA() IN ('alura', 'aluraproduction');</v>
      </c>
    </row>
    <row r="52" spans="1:4">
      <c r="A52" s="6" t="s">
        <v>136</v>
      </c>
      <c r="B52" s="7" t="s">
        <v>137</v>
      </c>
      <c r="C52" s="35" t="s">
        <v>22</v>
      </c>
      <c r="D52" s="32" t="str">
        <f t="shared" si="0"/>
        <v>INSERT INTO Skill(code, title) 
SELECT 'EM13CO09', 'Identificar tecnologias digitais, sua presença e formas de uso, nas diferentes atividades no mundo do trabalho.' 
WHERE NOT EXISTS (SELECT 1 FROM Skill WHERE code = 'EM13CO09') 
AND SCHEMA() IN ('alura', 'aluraproduction');
SET @skill_EM13CO09_id = (SELECT id FROM Skill WHERE code = 'EM13CO09');
INSERT INTO Skill_SkillGroup(skill_group_id, skill_id) 
SELECT @skill_C3_group_id, @skill_EM13CO09_id 
WHERE SCHEMA() IN ('alura', 'aluraproduction');</v>
      </c>
    </row>
    <row r="53" spans="1:4" ht="30.75">
      <c r="A53" s="6" t="s">
        <v>138</v>
      </c>
      <c r="B53" s="7" t="s">
        <v>139</v>
      </c>
      <c r="C53" s="35" t="s">
        <v>22</v>
      </c>
      <c r="D53" s="32" t="str">
        <f t="shared" si="0"/>
        <v>INSERT INTO Skill(code, title) 
SELECT 'EM13CO10', 'Conhecer os fundamentos da Inteligência Artificial, comparando-a com a inteligência humana, analisando suas potencialidades, riscos e limites.' 
WHERE NOT EXISTS (SELECT 1 FROM Skill WHERE code = 'EM13CO10') 
AND SCHEMA() IN ('alura', 'aluraproduction');
SET @skill_EM13CO10_id = (SELECT id FROM Skill WHERE code = 'EM13CO10');
INSERT INTO Skill_SkillGroup(skill_group_id, skill_id) 
SELECT @skill_C3_group_id, @skill_EM13CO10_id 
WHERE SCHEMA() IN ('alura', 'aluraproduction');</v>
      </c>
    </row>
    <row r="54" spans="1:4" ht="30.75">
      <c r="A54" s="6" t="s">
        <v>140</v>
      </c>
      <c r="B54" s="7" t="s">
        <v>141</v>
      </c>
      <c r="C54" s="35" t="s">
        <v>22</v>
      </c>
      <c r="D54" s="32" t="str">
        <f t="shared" si="0"/>
        <v>INSERT INTO Skill(code, title) 
SELECT 'EM13CO11', 'Criar e explorar modelos computacionais simples para simular e fazer previsões, identificando sua importância no desenvolvimento científico.' 
WHERE NOT EXISTS (SELECT 1 FROM Skill WHERE code = 'EM13CO11') 
AND SCHEMA() IN ('alura', 'aluraproduction');
SET @skill_EM13CO11_id = (SELECT id FROM Skill WHERE code = 'EM13CO11');
INSERT INTO Skill_SkillGroup(skill_group_id, skill_id) 
SELECT @skill_C3_group_id, @skill_EM13CO11_id 
WHERE SCHEMA() IN ('alura', 'aluraproduction');</v>
      </c>
    </row>
    <row r="55" spans="1:4">
      <c r="A55" s="6" t="s">
        <v>142</v>
      </c>
      <c r="B55" s="7" t="s">
        <v>143</v>
      </c>
      <c r="C55" s="35" t="s">
        <v>25</v>
      </c>
      <c r="D55" s="32" t="str">
        <f t="shared" si="0"/>
        <v>INSERT INTO Skill(code, title) 
SELECT 'EM13CO12', 'Produzir, analisar, gerir e compartilhar informações a partir de dados, utilizando princípios de ciência de dados' 
WHERE NOT EXISTS (SELECT 1 FROM Skill WHERE code = 'EM13CO12') 
AND SCHEMA() IN ('alura', 'aluraproduction');
SET @skill_EM13CO12_id = (SELECT id FROM Skill WHERE code = 'EM13CO12');
INSERT INTO Skill_SkillGroup(skill_group_id, skill_id) 
SELECT @skill_C4_group_id, @skill_EM13CO12_id 
WHERE SCHEMA() IN ('alura', 'aluraproduction');</v>
      </c>
    </row>
    <row r="56" spans="1:4" ht="30.75">
      <c r="A56" s="6" t="s">
        <v>144</v>
      </c>
      <c r="B56" s="7" t="s">
        <v>145</v>
      </c>
      <c r="C56" s="35" t="s">
        <v>25</v>
      </c>
      <c r="D56" s="32" t="str">
        <f t="shared" si="0"/>
        <v>INSERT INTO Skill(code, title) 
SELECT 'EM13CO13', 'Analisar e utilizar as diferentes formas de representação e consulta a dados em formato digital para pesquisas científicas.' 
WHERE NOT EXISTS (SELECT 1 FROM Skill WHERE code = 'EM13CO13') 
AND SCHEMA() IN ('alura', 'aluraproduction');
SET @skill_EM13CO13_id = (SELECT id FROM Skill WHERE code = 'EM13CO13');
INSERT INTO Skill_SkillGroup(skill_group_id, skill_id) 
SELECT @skill_C4_group_id, @skill_EM13CO13_id 
WHERE SCHEMA() IN ('alura', 'aluraproduction');</v>
      </c>
    </row>
    <row r="57" spans="1:4" ht="30.75">
      <c r="A57" s="6" t="s">
        <v>146</v>
      </c>
      <c r="B57" s="7" t="s">
        <v>147</v>
      </c>
      <c r="C57" s="35" t="s">
        <v>25</v>
      </c>
      <c r="D57" s="32" t="str">
        <f t="shared" si="0"/>
        <v>INSERT INTO Skill(code, title) 
SELECT 'EM13CO14', 'Avaliar a confiabilidade das informações encontradas em meio digital, investigando seus modos de construção e considerando a autoria, a estrutura e o propósito da mensagem.' 
WHERE NOT EXISTS (SELECT 1 FROM Skill WHERE code = 'EM13CO14') 
AND SCHEMA() IN ('alura', 'aluraproduction');
SET @skill_EM13CO14_id = (SELECT id FROM Skill WHERE code = 'EM13CO14');
INSERT INTO Skill_SkillGroup(skill_group_id, skill_id) 
SELECT @skill_C4_group_id, @skill_EM13CO14_id 
WHERE SCHEMA() IN ('alura', 'aluraproduction');</v>
      </c>
    </row>
    <row r="58" spans="1:4" ht="30.75">
      <c r="A58" s="6" t="s">
        <v>148</v>
      </c>
      <c r="B58" s="7" t="s">
        <v>149</v>
      </c>
      <c r="C58" s="35" t="s">
        <v>25</v>
      </c>
      <c r="D58" s="32" t="str">
        <f t="shared" si="0"/>
        <v>INSERT INTO Skill(code, title) 
SELECT 'EM13CO15', 'Analisar a interação entre usuários e artefatos computacionais, abordando aspectos da experiência do usuário e promovendo reflexão sobre a qualidade do uso dos artefatos nas esferas do trabalho, do lazer e do estudo.' 
WHERE NOT EXISTS (SELECT 1 FROM Skill WHERE code = 'EM13CO15') 
AND SCHEMA() IN ('alura', 'aluraproduction');
SET @skill_EM13CO15_id = (SELECT id FROM Skill WHERE code = 'EM13CO15');
INSERT INTO Skill_SkillGroup(skill_group_id, skill_id) 
SELECT @skill_C4_group_id, @skill_EM13CO15_id 
WHERE SCHEMA() IN ('alura', 'aluraproduction');</v>
      </c>
    </row>
    <row r="59" spans="1:4">
      <c r="A59" s="6" t="s">
        <v>150</v>
      </c>
      <c r="B59" s="7" t="s">
        <v>151</v>
      </c>
      <c r="C59" s="35" t="s">
        <v>25</v>
      </c>
      <c r="D59" s="32" t="str">
        <f t="shared" si="0"/>
        <v>INSERT INTO Skill(code, title) 
SELECT 'EM13CO16', 'Desenvolver projetos com robótica, utilizando artefatos físicos ou simuladores.' 
WHERE NOT EXISTS (SELECT 1 FROM Skill WHERE code = 'EM13CO16') 
AND SCHEMA() IN ('alura', 'aluraproduction');
SET @skill_EM13CO16_id = (SELECT id FROM Skill WHERE code = 'EM13CO16');
INSERT INTO Skill_SkillGroup(skill_group_id, skill_id) 
SELECT @skill_C4_group_id, @skill_EM13CO16_id 
WHERE SCHEMA() IN ('alura', 'aluraproduction');</v>
      </c>
    </row>
    <row r="60" spans="1:4" ht="30.75">
      <c r="A60" s="6" t="s">
        <v>152</v>
      </c>
      <c r="B60" s="7" t="s">
        <v>153</v>
      </c>
      <c r="C60" s="35" t="s">
        <v>28</v>
      </c>
      <c r="D60" s="32" t="str">
        <f t="shared" si="0"/>
        <v>INSERT INTO Skill(code, title) 
SELECT 'EM13CO17', 'Construir redes virtuais de interação e colaboração, favorecendo o desenvolvimento de projetos de forma segura, legal e ética.' 
WHERE NOT EXISTS (SELECT 1 FROM Skill WHERE code = 'EM13CO17') 
AND SCHEMA() IN ('alura', 'aluraproduction');
SET @skill_EM13CO17_id = (SELECT id FROM Skill WHERE code = 'EM13CO17');
INSERT INTO Skill_SkillGroup(skill_group_id, skill_id) 
SELECT @skill_C5_group_id, @skill_EM13CO17_id 
WHERE SCHEMA() IN ('alura', 'aluraproduction');</v>
      </c>
    </row>
    <row r="61" spans="1:4" ht="30.75">
      <c r="A61" s="6" t="s">
        <v>154</v>
      </c>
      <c r="B61" s="7" t="s">
        <v>155</v>
      </c>
      <c r="C61" s="35" t="s">
        <v>28</v>
      </c>
      <c r="D61" s="32" t="str">
        <f t="shared" si="0"/>
        <v>INSERT INTO Skill(code, title) 
SELECT 'EM13CO18', 'Planejar e gerenciar projetos integrados às áreas de conhecimento de forma colaborativa, solucionando problemas, usando diversos artefatos computacionais.' 
WHERE NOT EXISTS (SELECT 1 FROM Skill WHERE code = 'EM13CO18') 
AND SCHEMA() IN ('alura', 'aluraproduction');
SET @skill_EM13CO18_id = (SELECT id FROM Skill WHERE code = 'EM13CO18');
INSERT INTO Skill_SkillGroup(skill_group_id, skill_id) 
SELECT @skill_C5_group_id, @skill_EM13CO18_id 
WHERE SCHEMA() IN ('alura', 'aluraproduction');</v>
      </c>
    </row>
    <row r="62" spans="1:4">
      <c r="A62" s="6" t="s">
        <v>156</v>
      </c>
      <c r="B62" s="7" t="s">
        <v>157</v>
      </c>
      <c r="C62" s="35" t="s">
        <v>31</v>
      </c>
      <c r="D62" s="32" t="str">
        <f t="shared" si="0"/>
        <v>INSERT INTO Skill(code, title) 
SELECT 'EM13CO19', 'Expor, argumentar e negociar propostas, produtos e serviços, utilizando diferentes mídias e ferramentas digitais.' 
WHERE NOT EXISTS (SELECT 1 FROM Skill WHERE code = 'EM13CO19') 
AND SCHEMA() IN ('alura', 'aluraproduction');
SET @skill_EM13CO19_id = (SELECT id FROM Skill WHERE code = 'EM13CO19');
INSERT INTO Skill_SkillGroup(skill_group_id, skill_id) 
SELECT @skill_C6_group_id, @skill_EM13CO19_id 
WHERE SCHEMA() IN ('alura', 'aluraproduction');</v>
      </c>
    </row>
    <row r="63" spans="1:4" ht="30.75">
      <c r="A63" s="6" t="s">
        <v>158</v>
      </c>
      <c r="B63" s="7" t="s">
        <v>159</v>
      </c>
      <c r="C63" s="35" t="s">
        <v>31</v>
      </c>
      <c r="D63" s="32" t="str">
        <f t="shared" si="0"/>
        <v>INSERT INTO Skill(code, title) 
SELECT 'EM13CO20', 'Criar conteúdos, disponibilizando-os em ambientes virtuais para publicação e compartilhamento, avaliando a confiabilidade e as consequências da disseminação dessas informações.' 
WHERE NOT EXISTS (SELECT 1 FROM Skill WHERE code = 'EM13CO20') 
AND SCHEMA() IN ('alura', 'aluraproduction');
SET @skill_EM13CO20_id = (SELECT id FROM Skill WHERE code = 'EM13CO20');
INSERT INTO Skill_SkillGroup(skill_group_id, skill_id) 
SELECT @skill_C6_group_id, @skill_EM13CO20_id 
WHERE SCHEMA() IN ('alura', 'aluraproduction');</v>
      </c>
    </row>
    <row r="64" spans="1:4" ht="30.75">
      <c r="A64" s="6" t="s">
        <v>160</v>
      </c>
      <c r="B64" s="7" t="s">
        <v>161</v>
      </c>
      <c r="C64" s="35" t="s">
        <v>31</v>
      </c>
      <c r="D64" s="32" t="str">
        <f t="shared" si="0"/>
        <v>INSERT INTO Skill(code, title) 
SELECT 'EM13CO21', 'Comunicar ideias complexas de forma clara por meio de objetos digitais como mapas conceituais, infográficos, hipertextos e outros.' 
WHERE NOT EXISTS (SELECT 1 FROM Skill WHERE code = 'EM13CO21') 
AND SCHEMA() IN ('alura', 'aluraproduction');
SET @skill_EM13CO21_id = (SELECT id FROM Skill WHERE code = 'EM13CO21');
INSERT INTO Skill_SkillGroup(skill_group_id, skill_id) 
SELECT @skill_C6_group_id, @skill_EM13CO21_id 
WHERE SCHEMA() IN ('alura', 'aluraproduction');</v>
      </c>
    </row>
    <row r="65" spans="1:4" ht="30.75">
      <c r="A65" s="6" t="s">
        <v>162</v>
      </c>
      <c r="B65" s="7" t="s">
        <v>163</v>
      </c>
      <c r="C65" s="35" t="s">
        <v>31</v>
      </c>
      <c r="D65" s="32" t="str">
        <f t="shared" si="0"/>
        <v>INSERT INTO Skill(code, title) 
SELECT 'EM13CO22', 'Produzir e publicar conteúdo como textos, imagens, áudios, vídeos e suas associações, bem como ferramentas para sua integração, organização e apresentação, utilizando diferentes mídias digitais.' 
WHERE NOT EXISTS (SELECT 1 FROM Skill WHERE code = 'EM13CO22') 
AND SCHEMA() IN ('alura', 'aluraproduction');
SET @skill_EM13CO22_id = (SELECT id FROM Skill WHERE code = 'EM13CO22');
INSERT INTO Skill_SkillGroup(skill_group_id, skill_id) 
SELECT @skill_C6_group_id, @skill_EM13CO22_id 
WHERE SCHEMA() IN ('alura', 'aluraproduction');</v>
      </c>
    </row>
    <row r="66" spans="1:4" ht="30.75">
      <c r="A66" s="6" t="s">
        <v>164</v>
      </c>
      <c r="B66" s="7" t="s">
        <v>165</v>
      </c>
      <c r="C66" s="35" t="s">
        <v>34</v>
      </c>
      <c r="D66" s="32" t="str">
        <f t="shared" si="0"/>
        <v>INSERT INTO Skill(code, title) 
SELECT 'EM13CO23', 'Analisar criticamente as experiências em comunidades virtuais e as relações advindas da interação e comunicação com outras pessoas, bem como seus impactos na sociedade' 
WHERE NOT EXISTS (SELECT 1 FROM Skill WHERE code = 'EM13CO23') 
AND SCHEMA() IN ('alura', 'aluraproduction');
SET @skill_EM13CO23_id = (SELECT id FROM Skill WHERE code = 'EM13CO23');
INSERT INTO Skill_SkillGroup(skill_group_id, skill_id) 
SELECT @skill_C7_group_id, @skill_EM13CO23_id 
WHERE SCHEMA() IN ('alura', 'aluraproduction');</v>
      </c>
    </row>
    <row r="67" spans="1:4" ht="30.75">
      <c r="A67" s="6" t="s">
        <v>166</v>
      </c>
      <c r="B67" s="7" t="s">
        <v>167</v>
      </c>
      <c r="C67" s="35" t="s">
        <v>34</v>
      </c>
      <c r="D67" s="32" t="str">
        <f t="shared" ref="D67:D69" si="1">"INSERT INTO Skill(code, title) " &amp; CHAR(10) &amp;
"SELECT '" &amp; A67 &amp; "', '" &amp; SUBSTITUTE(B67, "'", "''") &amp; "' " &amp; CHAR(10) &amp;
"WHERE NOT EXISTS (SELECT 1 FROM Skill WHERE code = '" &amp; A67 &amp; "') " &amp; CHAR(10) &amp;
"AND SCHEMA() IN ('alura', 'aluraproduction');" &amp;
CHAR(10) &amp; CHAR(10) &amp;
"SET @skill_" &amp; A67 &amp; "_id = (SELECT id FROM Skill WHERE code = '" &amp; A67 &amp; "');" &amp;
CHAR(10) &amp; CHAR(10) &amp;
"INSERT INTO Skill_SkillGroup(skill_group_id, skill_id) " &amp; CHAR(10) &amp;
"SELECT @skill_" &amp; C67 &amp; "_group_id, @skill_" &amp; A67 &amp; "_id " &amp; CHAR(10) &amp;
"WHERE SCHEMA() IN ('alura', 'aluraproduction');"</f>
        <v>INSERT INTO Skill(code, title) 
SELECT 'EM13CO24', 'Identificar e reconhecer como as redes sociais e artefatos computacionais em geral interferem na saúde física e mental de seus usuários.' 
WHERE NOT EXISTS (SELECT 1 FROM Skill WHERE code = 'EM13CO24') 
AND SCHEMA() IN ('alura', 'aluraproduction');
SET @skill_EM13CO24_id = (SELECT id FROM Skill WHERE code = 'EM13CO24');
INSERT INTO Skill_SkillGroup(skill_group_id, skill_id) 
SELECT @skill_C7_group_id, @skill_EM13CO24_id 
WHERE SCHEMA() IN ('alura', 'aluraproduction');</v>
      </c>
    </row>
    <row r="68" spans="1:4" ht="30.75">
      <c r="A68" s="6" t="s">
        <v>168</v>
      </c>
      <c r="B68" s="7" t="s">
        <v>169</v>
      </c>
      <c r="C68" s="35" t="s">
        <v>34</v>
      </c>
      <c r="D68" s="32" t="str">
        <f t="shared" si="1"/>
        <v>INSERT INTO Skill(code, title) 
SELECT 'EM13CO25', 'Dialogar em ambientes virtuais com segurança e respeito às diferenças culturais e pessoais, reconhecendo e denunciando atitudes abusivas.' 
WHERE NOT EXISTS (SELECT 1 FROM Skill WHERE code = 'EM13CO25') 
AND SCHEMA() IN ('alura', 'aluraproduction');
SET @skill_EM13CO25_id = (SELECT id FROM Skill WHERE code = 'EM13CO25');
INSERT INTO Skill_SkillGroup(skill_group_id, skill_id) 
SELECT @skill_C7_group_id, @skill_EM13CO25_id 
WHERE SCHEMA() IN ('alura', 'aluraproduction');</v>
      </c>
    </row>
    <row r="69" spans="1:4" ht="30.75">
      <c r="A69" s="6" t="s">
        <v>170</v>
      </c>
      <c r="B69" s="7" t="s">
        <v>171</v>
      </c>
      <c r="C69" s="35" t="s">
        <v>34</v>
      </c>
      <c r="D69" s="32" t="str">
        <f t="shared" si="1"/>
        <v>INSERT INTO Skill(code, title) 
SELECT 'EM13CO26', 'Aplicar os conceitos e pressupostos do direito digital em sua conduta e experiências com o cotidiano da cultura digital, bem como na produção e uso de artefatos computacionais.' 
WHERE NOT EXISTS (SELECT 1 FROM Skill WHERE code = 'EM13CO26') 
AND SCHEMA() IN ('alura', 'aluraproduction');
SET @skill_EM13CO26_id = (SELECT id FROM Skill WHERE code = 'EM13CO26');
INSERT INTO Skill_SkillGroup(skill_group_id, skill_id) 
SELECT @skill_C7_group_id, @skill_EM13CO26_id 
WHERE SCHEMA() IN ('alura', 'aluraproduction');</v>
      </c>
    </row>
  </sheetData>
  <sortState xmlns:xlrd2="http://schemas.microsoft.com/office/spreadsheetml/2017/richdata2" ref="A2:C69">
    <sortCondition ref="B2:B6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9E02E-E9FE-4976-BC31-E06F68E8B6A6}">
  <dimension ref="A1:D659"/>
  <sheetViews>
    <sheetView workbookViewId="0">
      <selection sqref="A1:A1048576"/>
    </sheetView>
  </sheetViews>
  <sheetFormatPr defaultRowHeight="15" customHeight="1"/>
  <cols>
    <col min="1" max="1" width="11.85546875" style="18" customWidth="1"/>
    <col min="2" max="2" width="117.85546875" style="12" bestFit="1" customWidth="1"/>
    <col min="3" max="3" width="18.5703125" style="18" customWidth="1"/>
    <col min="4" max="4" width="255.7109375" style="12" bestFit="1" customWidth="1"/>
    <col min="5" max="16384" width="9.140625" style="12"/>
  </cols>
  <sheetData>
    <row r="1" spans="1:4" ht="15" customHeight="1">
      <c r="A1" s="17" t="s">
        <v>4</v>
      </c>
      <c r="B1" s="11" t="s">
        <v>5</v>
      </c>
      <c r="C1" s="17" t="s">
        <v>172</v>
      </c>
      <c r="D1" s="36"/>
    </row>
    <row r="2" spans="1:4" ht="15" customHeight="1">
      <c r="A2" s="19" t="s">
        <v>173</v>
      </c>
      <c r="B2" s="13" t="s">
        <v>174</v>
      </c>
      <c r="C2" s="16" t="s">
        <v>38</v>
      </c>
      <c r="D2" s="36" t="str">
        <f>"INSERT INTO SkillAttribute(code, title) " &amp; CHAR(10) &amp;
"SELECT '" &amp; A2 &amp; "', '" &amp; SUBSTITUTE(B2, "'", "''") &amp; "' " &amp; CHAR(10) &amp;
"WHERE NOT EXISTS (SELECT 1 FROM SkillAttribute WHERE code = '" &amp; A2 &amp; "') " &amp; CHAR(10) &amp;
"AND SCHEMA() IN ('alura', 'aluraproduction');" &amp;
CHAR(10) &amp; CHAR(10) &amp;
"SET @skill_attribute_" &amp; A2 &amp; "_id = (SELECT id FROM SkillAttribute WHERE code = '" &amp; A2 &amp; "');" &amp;
CHAR(10) &amp; CHAR(10) &amp;
"INSERT INTO Skill_SkillAttribute(skill_id, skill_attribute_id) " &amp; CHAR(10) &amp;
"SELECT @skill_" &amp; C2 &amp; "_id, @skill_attribute_" &amp; A2 &amp; "_id WHERE SCHEMA() IN ('alura', 'aluraproduction');"</f>
        <v>INSERT INTO SkillAttribute(code, title) 
SELECT 'D01', 'Identificar formas de classificar informações.' 
WHERE NOT EXISTS (SELECT 1 FROM SkillAttribute WHERE code = 'D01') 
AND SCHEMA() IN ('alura', 'aluraproduction');
SET @skill_attribute_D01_id = (SELECT id FROM SkillAttribute WHERE code = 'D01');
INSERT INTO Skill_SkillAttribute(skill_id, skill_attribute_id) 
SELECT @skill_EF06CO01_id, @skill_attribute_D01_id WHERE SCHEMA() IN ('alura', 'aluraproduction');</v>
      </c>
    </row>
    <row r="3" spans="1:4" ht="15" customHeight="1">
      <c r="A3" s="19" t="s">
        <v>175</v>
      </c>
      <c r="B3" s="13" t="s">
        <v>176</v>
      </c>
      <c r="C3" s="16" t="s">
        <v>38</v>
      </c>
      <c r="D3" s="36" t="str">
        <f t="shared" ref="D3:D66" si="0">"INSERT INTO SkillAttribute(code, title) " &amp; CHAR(10) &amp;
"SELECT '" &amp; A3 &amp; "', '" &amp; SUBSTITUTE(B3, "'", "''") &amp; "' " &amp; CHAR(10) &amp;
"WHERE NOT EXISTS (SELECT 1 FROM SkillAttribute WHERE code = '" &amp; A3 &amp; "') " &amp; CHAR(10) &amp;
"AND SCHEMA() IN ('alura', 'aluraproduction');" &amp;
CHAR(10) &amp; CHAR(10) &amp;
"SET @skill_attribute_" &amp; A3 &amp; "_id = (SELECT id FROM SkillAttribute WHERE code = '" &amp; A3 &amp; "');" &amp;
CHAR(10) &amp; CHAR(10) &amp;
"INSERT INTO Skill_SkillAttribute(skill_id, skill_attribute_id) " &amp; CHAR(10) &amp;
"SELECT @skill_" &amp; C3 &amp; "_id, @skill_attribute_" &amp; A3 &amp; "_id WHERE SCHEMA() IN ('alura', 'aluraproduction');"</f>
        <v>INSERT INTO SkillAttribute(code, title) 
SELECT 'D02', 'Analisar formas de classificar informações.' 
WHERE NOT EXISTS (SELECT 1 FROM SkillAttribute WHERE code = 'D02') 
AND SCHEMA() IN ('alura', 'aluraproduction');
SET @skill_attribute_D02_id = (SELECT id FROM SkillAttribute WHERE code = 'D02');
INSERT INTO Skill_SkillAttribute(skill_id, skill_attribute_id) 
SELECT @skill_EF06CO01_id, @skill_attribute_D02_id WHERE SCHEMA() IN ('alura', 'aluraproduction');</v>
      </c>
    </row>
    <row r="4" spans="1:4" ht="15" customHeight="1">
      <c r="A4" s="19" t="s">
        <v>177</v>
      </c>
      <c r="B4" s="13" t="s">
        <v>178</v>
      </c>
      <c r="C4" s="16" t="s">
        <v>38</v>
      </c>
      <c r="D4" s="36" t="str">
        <f t="shared" si="0"/>
        <v>INSERT INTO SkillAttribute(code, title) 
SELECT 'D03', 'Identificar coleções (conjunto) de informações.' 
WHERE NOT EXISTS (SELECT 1 FROM SkillAttribute WHERE code = 'D03') 
AND SCHEMA() IN ('alura', 'aluraproduction');
SET @skill_attribute_D03_id = (SELECT id FROM SkillAttribute WHERE code = 'D03');
INSERT INTO Skill_SkillAttribute(skill_id, skill_attribute_id) 
SELECT @skill_EF06CO01_id, @skill_attribute_D03_id WHERE SCHEMA() IN ('alura', 'aluraproduction');</v>
      </c>
    </row>
    <row r="5" spans="1:4" ht="15" customHeight="1">
      <c r="A5" s="19" t="s">
        <v>179</v>
      </c>
      <c r="B5" s="13" t="s">
        <v>180</v>
      </c>
      <c r="C5" s="16" t="s">
        <v>38</v>
      </c>
      <c r="D5" s="36" t="str">
        <f t="shared" si="0"/>
        <v>INSERT INTO SkillAttribute(code, title) 
SELECT 'D04', 'Analisar critérios utilizados para formar coleções de dados.' 
WHERE NOT EXISTS (SELECT 1 FROM SkillAttribute WHERE code = 'D04') 
AND SCHEMA() IN ('alura', 'aluraproduction');
SET @skill_attribute_D04_id = (SELECT id FROM SkillAttribute WHERE code = 'D04');
INSERT INTO Skill_SkillAttribute(skill_id, skill_attribute_id) 
SELECT @skill_EF06CO01_id, @skill_attribute_D04_id WHERE SCHEMA() IN ('alura', 'aluraproduction');</v>
      </c>
    </row>
    <row r="6" spans="1:4" ht="15" customHeight="1">
      <c r="A6" s="19" t="s">
        <v>181</v>
      </c>
      <c r="B6" s="13" t="s">
        <v>182</v>
      </c>
      <c r="C6" s="16" t="s">
        <v>38</v>
      </c>
      <c r="D6" s="36" t="str">
        <f t="shared" si="0"/>
        <v>INSERT INTO SkillAttribute(code, title) 
SELECT 'D05', 'Identificar diferentes tipos de dados.' 
WHERE NOT EXISTS (SELECT 1 FROM SkillAttribute WHERE code = 'D05') 
AND SCHEMA() IN ('alura', 'aluraproduction');
SET @skill_attribute_D05_id = (SELECT id FROM SkillAttribute WHERE code = 'D05');
INSERT INTO Skill_SkillAttribute(skill_id, skill_attribute_id) 
SELECT @skill_EF06CO01_id, @skill_attribute_D05_id WHERE SCHEMA() IN ('alura', 'aluraproduction');</v>
      </c>
    </row>
    <row r="7" spans="1:4" ht="15" customHeight="1">
      <c r="A7" s="19" t="s">
        <v>183</v>
      </c>
      <c r="B7" s="13" t="s">
        <v>184</v>
      </c>
      <c r="C7" s="16" t="s">
        <v>38</v>
      </c>
      <c r="D7" s="36" t="str">
        <f t="shared" si="0"/>
        <v>INSERT INTO SkillAttribute(code, title) 
SELECT 'D06', 'Relacionar coleções (conjuntos) a tipos de dados. ' 
WHERE NOT EXISTS (SELECT 1 FROM SkillAttribute WHERE code = 'D06') 
AND SCHEMA() IN ('alura', 'aluraproduction');
SET @skill_attribute_D06_id = (SELECT id FROM SkillAttribute WHERE code = 'D06');
INSERT INTO Skill_SkillAttribute(skill_id, skill_attribute_id) 
SELECT @skill_EF06CO01_id, @skill_attribute_D06_id WHERE SCHEMA() IN ('alura', 'aluraproduction');</v>
      </c>
    </row>
    <row r="8" spans="1:4" ht="15" customHeight="1">
      <c r="A8" s="19" t="s">
        <v>185</v>
      </c>
      <c r="B8" s="13" t="s">
        <v>186</v>
      </c>
      <c r="C8" s="16" t="s">
        <v>38</v>
      </c>
      <c r="D8" s="36" t="str">
        <f t="shared" si="0"/>
        <v>INSERT INTO SkillAttribute(code, title) 
SELECT 'D07', 'Identificar critérios dados para o agrupamento de informações.' 
WHERE NOT EXISTS (SELECT 1 FROM SkillAttribute WHERE code = 'D07') 
AND SCHEMA() IN ('alura', 'aluraproduction');
SET @skill_attribute_D07_id = (SELECT id FROM SkillAttribute WHERE code = 'D07');
INSERT INTO Skill_SkillAttribute(skill_id, skill_attribute_id) 
SELECT @skill_EF06CO01_id, @skill_attribute_D07_id WHERE SCHEMA() IN ('alura', 'aluraproduction');</v>
      </c>
    </row>
    <row r="9" spans="1:4" ht="15" customHeight="1">
      <c r="A9" s="19" t="s">
        <v>187</v>
      </c>
      <c r="B9" s="13" t="s">
        <v>188</v>
      </c>
      <c r="C9" s="16" t="s">
        <v>38</v>
      </c>
      <c r="D9" s="36" t="str">
        <f t="shared" si="0"/>
        <v>INSERT INTO SkillAttribute(code, title) 
SELECT 'D08', 'Reconhecer informações semelhantes para formar conjuntos.' 
WHERE NOT EXISTS (SELECT 1 FROM SkillAttribute WHERE code = 'D08') 
AND SCHEMA() IN ('alura', 'aluraproduction');
SET @skill_attribute_D08_id = (SELECT id FROM SkillAttribute WHERE code = 'D08');
INSERT INTO Skill_SkillAttribute(skill_id, skill_attribute_id) 
SELECT @skill_EF06CO01_id, @skill_attribute_D08_id WHERE SCHEMA() IN ('alura', 'aluraproduction');</v>
      </c>
    </row>
    <row r="10" spans="1:4" ht="15" customHeight="1">
      <c r="A10" s="19" t="s">
        <v>189</v>
      </c>
      <c r="B10" s="13" t="s">
        <v>190</v>
      </c>
      <c r="C10" s="16" t="s">
        <v>38</v>
      </c>
      <c r="D10" s="36" t="str">
        <f t="shared" si="0"/>
        <v>INSERT INTO SkillAttribute(code, title) 
SELECT 'D09', 'Compreender a adequação entre a informação e seu tipo de dado correspondente.' 
WHERE NOT EXISTS (SELECT 1 FROM SkillAttribute WHERE code = 'D09') 
AND SCHEMA() IN ('alura', 'aluraproduction');
SET @skill_attribute_D09_id = (SELECT id FROM SkillAttribute WHERE code = 'D09');
INSERT INTO Skill_SkillAttribute(skill_id, skill_attribute_id) 
SELECT @skill_EF06CO01_id, @skill_attribute_D09_id WHERE SCHEMA() IN ('alura', 'aluraproduction');</v>
      </c>
    </row>
    <row r="11" spans="1:4" ht="15" customHeight="1">
      <c r="A11" s="19" t="s">
        <v>191</v>
      </c>
      <c r="B11" s="14" t="s">
        <v>192</v>
      </c>
      <c r="C11" s="16" t="s">
        <v>40</v>
      </c>
      <c r="D11" s="36" t="str">
        <f t="shared" si="0"/>
        <v>INSERT INTO SkillAttribute(code, title) 
SELECT 'D10', 'Reconhecer sequências lógicas.' 
WHERE NOT EXISTS (SELECT 1 FROM SkillAttribute WHERE code = 'D10') 
AND SCHEMA() IN ('alura', 'aluraproduction');
SET @skill_attribute_D10_id = (SELECT id FROM SkillAttribute WHERE code = 'D10');
INSERT INTO Skill_SkillAttribute(skill_id, skill_attribute_id) 
SELECT @skill_EF06CO02_id, @skill_attribute_D10_id WHERE SCHEMA() IN ('alura', 'aluraproduction');</v>
      </c>
    </row>
    <row r="12" spans="1:4" ht="15" customHeight="1">
      <c r="A12" s="19" t="s">
        <v>193</v>
      </c>
      <c r="B12" s="14" t="s">
        <v>194</v>
      </c>
      <c r="C12" s="16" t="s">
        <v>40</v>
      </c>
      <c r="D12" s="36" t="str">
        <f t="shared" si="0"/>
        <v>INSERT INTO SkillAttribute(code, title) 
SELECT 'D11', 'Reconhecer laços de repetição.' 
WHERE NOT EXISTS (SELECT 1 FROM SkillAttribute WHERE code = 'D11') 
AND SCHEMA() IN ('alura', 'aluraproduction');
SET @skill_attribute_D11_id = (SELECT id FROM SkillAttribute WHERE code = 'D11');
INSERT INTO Skill_SkillAttribute(skill_id, skill_attribute_id) 
SELECT @skill_EF06CO02_id, @skill_attribute_D11_id WHERE SCHEMA() IN ('alura', 'aluraproduction');</v>
      </c>
    </row>
    <row r="13" spans="1:4" ht="15" customHeight="1">
      <c r="A13" s="19" t="s">
        <v>195</v>
      </c>
      <c r="B13" s="14" t="s">
        <v>196</v>
      </c>
      <c r="C13" s="16" t="s">
        <v>40</v>
      </c>
      <c r="D13" s="36" t="str">
        <f t="shared" si="0"/>
        <v>INSERT INTO SkillAttribute(code, title) 
SELECT 'D12', 'Relacionar comandos de uma linguagem de programação às suas funções.' 
WHERE NOT EXISTS (SELECT 1 FROM SkillAttribute WHERE code = 'D12') 
AND SCHEMA() IN ('alura', 'aluraproduction');
SET @skill_attribute_D12_id = (SELECT id FROM SkillAttribute WHERE code = 'D12');
INSERT INTO Skill_SkillAttribute(skill_id, skill_attribute_id) 
SELECT @skill_EF06CO02_id, @skill_attribute_D12_id WHERE SCHEMA() IN ('alura', 'aluraproduction');</v>
      </c>
    </row>
    <row r="14" spans="1:4" ht="15" customHeight="1">
      <c r="A14" s="19" t="s">
        <v>197</v>
      </c>
      <c r="B14" s="14" t="s">
        <v>198</v>
      </c>
      <c r="C14" s="16" t="s">
        <v>40</v>
      </c>
      <c r="D14" s="36" t="str">
        <f t="shared" si="0"/>
        <v>INSERT INTO SkillAttribute(code, title) 
SELECT 'D13', 'Compreender o funcionamento de estruturas condicionais.' 
WHERE NOT EXISTS (SELECT 1 FROM SkillAttribute WHERE code = 'D13') 
AND SCHEMA() IN ('alura', 'aluraproduction');
SET @skill_attribute_D13_id = (SELECT id FROM SkillAttribute WHERE code = 'D13');
INSERT INTO Skill_SkillAttribute(skill_id, skill_attribute_id) 
SELECT @skill_EF06CO02_id, @skill_attribute_D13_id WHERE SCHEMA() IN ('alura', 'aluraproduction');</v>
      </c>
    </row>
    <row r="15" spans="1:4" ht="15" customHeight="1">
      <c r="A15" s="19" t="s">
        <v>199</v>
      </c>
      <c r="B15" s="14" t="s">
        <v>200</v>
      </c>
      <c r="C15" s="16" t="s">
        <v>40</v>
      </c>
      <c r="D15" s="36" t="str">
        <f t="shared" si="0"/>
        <v>INSERT INTO SkillAttribute(code, title) 
SELECT 'D14', 'Compreender o funcionamento de estruturas de repetição.' 
WHERE NOT EXISTS (SELECT 1 FROM SkillAttribute WHERE code = 'D14') 
AND SCHEMA() IN ('alura', 'aluraproduction');
SET @skill_attribute_D14_id = (SELECT id FROM SkillAttribute WHERE code = 'D14');
INSERT INTO Skill_SkillAttribute(skill_id, skill_attribute_id) 
SELECT @skill_EF06CO02_id, @skill_attribute_D14_id WHERE SCHEMA() IN ('alura', 'aluraproduction');</v>
      </c>
    </row>
    <row r="16" spans="1:4" ht="15" customHeight="1">
      <c r="A16" s="19" t="s">
        <v>201</v>
      </c>
      <c r="B16" s="14" t="s">
        <v>202</v>
      </c>
      <c r="C16" s="16" t="s">
        <v>40</v>
      </c>
      <c r="D16" s="36" t="str">
        <f t="shared" si="0"/>
        <v>INSERT INTO SkillAttribute(code, title) 
SELECT 'D15', 'Compreender o papel de cada etapa (entrada, processamento e saída) na estrutura de um algoritmo.' 
WHERE NOT EXISTS (SELECT 1 FROM SkillAttribute WHERE code = 'D15') 
AND SCHEMA() IN ('alura', 'aluraproduction');
SET @skill_attribute_D15_id = (SELECT id FROM SkillAttribute WHERE code = 'D15');
INSERT INTO Skill_SkillAttribute(skill_id, skill_attribute_id) 
SELECT @skill_EF06CO02_id, @skill_attribute_D15_id WHERE SCHEMA() IN ('alura', 'aluraproduction');</v>
      </c>
    </row>
    <row r="17" spans="1:4" ht="15" customHeight="1">
      <c r="A17" s="19" t="s">
        <v>203</v>
      </c>
      <c r="B17" s="14" t="s">
        <v>204</v>
      </c>
      <c r="C17" s="16" t="s">
        <v>40</v>
      </c>
      <c r="D17" s="36" t="str">
        <f t="shared" si="0"/>
        <v>INSERT INTO SkillAttribute(code, title) 
SELECT 'D16', 'Analisar algoritmos que utilizam comandos de sequência.' 
WHERE NOT EXISTS (SELECT 1 FROM SkillAttribute WHERE code = 'D16') 
AND SCHEMA() IN ('alura', 'aluraproduction');
SET @skill_attribute_D16_id = (SELECT id FROM SkillAttribute WHERE code = 'D16');
INSERT INTO Skill_SkillAttribute(skill_id, skill_attribute_id) 
SELECT @skill_EF06CO02_id, @skill_attribute_D16_id WHERE SCHEMA() IN ('alura', 'aluraproduction');</v>
      </c>
    </row>
    <row r="18" spans="1:4" ht="15" customHeight="1">
      <c r="A18" s="19" t="s">
        <v>205</v>
      </c>
      <c r="B18" s="14" t="s">
        <v>206</v>
      </c>
      <c r="C18" s="16" t="s">
        <v>40</v>
      </c>
      <c r="D18" s="36" t="str">
        <f t="shared" si="0"/>
        <v>INSERT INTO SkillAttribute(code, title) 
SELECT 'D17', 'Analisar algoritmos que utilizam estruturas condicionais.' 
WHERE NOT EXISTS (SELECT 1 FROM SkillAttribute WHERE code = 'D17') 
AND SCHEMA() IN ('alura', 'aluraproduction');
SET @skill_attribute_D17_id = (SELECT id FROM SkillAttribute WHERE code = 'D17');
INSERT INTO Skill_SkillAttribute(skill_id, skill_attribute_id) 
SELECT @skill_EF06CO02_id, @skill_attribute_D17_id WHERE SCHEMA() IN ('alura', 'aluraproduction');</v>
      </c>
    </row>
    <row r="19" spans="1:4" ht="15" customHeight="1">
      <c r="A19" s="19" t="s">
        <v>207</v>
      </c>
      <c r="B19" s="14" t="s">
        <v>208</v>
      </c>
      <c r="C19" s="16" t="s">
        <v>40</v>
      </c>
      <c r="D19" s="36" t="str">
        <f t="shared" si="0"/>
        <v>INSERT INTO SkillAttribute(code, title) 
SELECT 'D18', 'Analisar algoritmos que utilizam estruturas de repetição.' 
WHERE NOT EXISTS (SELECT 1 FROM SkillAttribute WHERE code = 'D18') 
AND SCHEMA() IN ('alura', 'aluraproduction');
SET @skill_attribute_D18_id = (SELECT id FROM SkillAttribute WHERE code = 'D18');
INSERT INTO Skill_SkillAttribute(skill_id, skill_attribute_id) 
SELECT @skill_EF06CO02_id, @skill_attribute_D18_id WHERE SCHEMA() IN ('alura', 'aluraproduction');</v>
      </c>
    </row>
    <row r="20" spans="1:4" ht="15" customHeight="1">
      <c r="A20" s="19" t="s">
        <v>209</v>
      </c>
      <c r="B20" s="14" t="s">
        <v>210</v>
      </c>
      <c r="C20" s="16" t="s">
        <v>40</v>
      </c>
      <c r="D20" s="36" t="str">
        <f t="shared" si="0"/>
        <v>INSERT INTO SkillAttribute(code, title) 
SELECT 'D19', 'Interpretar algoritmos escritos em uma linguagem de programação.' 
WHERE NOT EXISTS (SELECT 1 FROM SkillAttribute WHERE code = 'D19') 
AND SCHEMA() IN ('alura', 'aluraproduction');
SET @skill_attribute_D19_id = (SELECT id FROM SkillAttribute WHERE code = 'D19');
INSERT INTO Skill_SkillAttribute(skill_id, skill_attribute_id) 
SELECT @skill_EF06CO02_id, @skill_attribute_D19_id WHERE SCHEMA() IN ('alura', 'aluraproduction');</v>
      </c>
    </row>
    <row r="21" spans="1:4" ht="15" customHeight="1">
      <c r="A21" s="19" t="s">
        <v>211</v>
      </c>
      <c r="B21" s="14" t="s">
        <v>212</v>
      </c>
      <c r="C21" s="16" t="s">
        <v>40</v>
      </c>
      <c r="D21" s="36" t="str">
        <f t="shared" si="0"/>
        <v>INSERT INTO SkillAttribute(code, title) 
SELECT 'D20', 'Analisar algoritmos representados em diferentes formas de notação (linguagem natural, pseudocódigo ou fluxograma).' 
WHERE NOT EXISTS (SELECT 1 FROM SkillAttribute WHERE code = 'D20') 
AND SCHEMA() IN ('alura', 'aluraproduction');
SET @skill_attribute_D20_id = (SELECT id FROM SkillAttribute WHERE code = 'D20');
INSERT INTO Skill_SkillAttribute(skill_id, skill_attribute_id) 
SELECT @skill_EF06CO02_id, @skill_attribute_D20_id WHERE SCHEMA() IN ('alura', 'aluraproduction');</v>
      </c>
    </row>
    <row r="22" spans="1:4" ht="15" customHeight="1">
      <c r="A22" s="19" t="s">
        <v>213</v>
      </c>
      <c r="B22" s="14" t="s">
        <v>214</v>
      </c>
      <c r="C22" s="16" t="s">
        <v>40</v>
      </c>
      <c r="D22" s="36" t="str">
        <f t="shared" si="0"/>
        <v>INSERT INTO SkillAttribute(code, title) 
SELECT 'D21', 'Identificar a necessidade de repetição em algoritmos.' 
WHERE NOT EXISTS (SELECT 1 FROM SkillAttribute WHERE code = 'D21') 
AND SCHEMA() IN ('alura', 'aluraproduction');
SET @skill_attribute_D21_id = (SELECT id FROM SkillAttribute WHERE code = 'D21');
INSERT INTO Skill_SkillAttribute(skill_id, skill_attribute_id) 
SELECT @skill_EF06CO02_id, @skill_attribute_D21_id WHERE SCHEMA() IN ('alura', 'aluraproduction');</v>
      </c>
    </row>
    <row r="23" spans="1:4" ht="15" customHeight="1">
      <c r="A23" s="19" t="s">
        <v>215</v>
      </c>
      <c r="B23" s="14" t="s">
        <v>216</v>
      </c>
      <c r="C23" s="16" t="s">
        <v>40</v>
      </c>
      <c r="D23" s="36" t="str">
        <f t="shared" si="0"/>
        <v>INSERT INTO SkillAttribute(code, title) 
SELECT 'D22', 'Compreender a escolha de determinada estrutura de controle em um algoritmo.' 
WHERE NOT EXISTS (SELECT 1 FROM SkillAttribute WHERE code = 'D22') 
AND SCHEMA() IN ('alura', 'aluraproduction');
SET @skill_attribute_D22_id = (SELECT id FROM SkillAttribute WHERE code = 'D22');
INSERT INTO Skill_SkillAttribute(skill_id, skill_attribute_id) 
SELECT @skill_EF06CO02_id, @skill_attribute_D22_id WHERE SCHEMA() IN ('alura', 'aluraproduction');</v>
      </c>
    </row>
    <row r="24" spans="1:4" ht="15" customHeight="1">
      <c r="A24" s="19" t="s">
        <v>217</v>
      </c>
      <c r="B24" s="14" t="s">
        <v>218</v>
      </c>
      <c r="C24" s="16" t="s">
        <v>40</v>
      </c>
      <c r="D24" s="36" t="str">
        <f t="shared" si="0"/>
        <v>INSERT INTO SkillAttribute(code, title) 
SELECT 'D23', 'Diferenciar instruções sequenciais, de repetição e de seleção.' 
WHERE NOT EXISTS (SELECT 1 FROM SkillAttribute WHERE code = 'D23') 
AND SCHEMA() IN ('alura', 'aluraproduction');
SET @skill_attribute_D23_id = (SELECT id FROM SkillAttribute WHERE code = 'D23');
INSERT INTO Skill_SkillAttribute(skill_id, skill_attribute_id) 
SELECT @skill_EF06CO02_id, @skill_attribute_D23_id WHERE SCHEMA() IN ('alura', 'aluraproduction');</v>
      </c>
    </row>
    <row r="25" spans="1:4" ht="15" customHeight="1">
      <c r="A25" s="19" t="s">
        <v>219</v>
      </c>
      <c r="B25" s="13" t="s">
        <v>220</v>
      </c>
      <c r="C25" s="16" t="s">
        <v>40</v>
      </c>
      <c r="D25" s="36" t="str">
        <f t="shared" si="0"/>
        <v>INSERT INTO SkillAttribute(code, title) 
SELECT 'D24', 'Reconhecer instruções condicionais em algoritmos simples.' 
WHERE NOT EXISTS (SELECT 1 FROM SkillAttribute WHERE code = 'D24') 
AND SCHEMA() IN ('alura', 'aluraproduction');
SET @skill_attribute_D24_id = (SELECT id FROM SkillAttribute WHERE code = 'D24');
INSERT INTO Skill_SkillAttribute(skill_id, skill_attribute_id) 
SELECT @skill_EF06CO02_id, @skill_attribute_D24_id WHERE SCHEMA() IN ('alura', 'aluraproduction');</v>
      </c>
    </row>
    <row r="26" spans="1:4" ht="15" customHeight="1">
      <c r="A26" s="19" t="s">
        <v>221</v>
      </c>
      <c r="B26" s="13" t="s">
        <v>222</v>
      </c>
      <c r="C26" s="16" t="s">
        <v>40</v>
      </c>
      <c r="D26" s="36" t="str">
        <f t="shared" si="0"/>
        <v>INSERT INTO SkillAttribute(code, title) 
SELECT 'D25', 'Relacionar a estrutura de controle utilizada ao comportamento esperado do algoritmo.' 
WHERE NOT EXISTS (SELECT 1 FROM SkillAttribute WHERE code = 'D25') 
AND SCHEMA() IN ('alura', 'aluraproduction');
SET @skill_attribute_D25_id = (SELECT id FROM SkillAttribute WHERE code = 'D25');
INSERT INTO Skill_SkillAttribute(skill_id, skill_attribute_id) 
SELECT @skill_EF06CO02_id, @skill_attribute_D25_id WHERE SCHEMA() IN ('alura', 'aluraproduction');</v>
      </c>
    </row>
    <row r="27" spans="1:4" ht="15" customHeight="1">
      <c r="A27" s="19" t="s">
        <v>223</v>
      </c>
      <c r="B27" s="13" t="s">
        <v>224</v>
      </c>
      <c r="C27" s="16" t="s">
        <v>40</v>
      </c>
      <c r="D27" s="36" t="str">
        <f t="shared" si="0"/>
        <v>INSERT INTO SkillAttribute(code, title) 
SELECT 'D26', 'Identificar a finalidade de um algoritmo a partir da análise de seus comandos.' 
WHERE NOT EXISTS (SELECT 1 FROM SkillAttribute WHERE code = 'D26') 
AND SCHEMA() IN ('alura', 'aluraproduction');
SET @skill_attribute_D26_id = (SELECT id FROM SkillAttribute WHERE code = 'D26');
INSERT INTO Skill_SkillAttribute(skill_id, skill_attribute_id) 
SELECT @skill_EF06CO02_id, @skill_attribute_D26_id WHERE SCHEMA() IN ('alura', 'aluraproduction');</v>
      </c>
    </row>
    <row r="28" spans="1:4" ht="15" customHeight="1">
      <c r="A28" s="19" t="s">
        <v>225</v>
      </c>
      <c r="B28" s="13" t="s">
        <v>226</v>
      </c>
      <c r="C28" s="16" t="s">
        <v>40</v>
      </c>
      <c r="D28" s="36" t="str">
        <f t="shared" si="0"/>
        <v>INSERT INTO SkillAttribute(code, title) 
SELECT 'D27', 'Compreender a diferença entre executar uma instrução e repetir uma instrução.' 
WHERE NOT EXISTS (SELECT 1 FROM SkillAttribute WHERE code = 'D27') 
AND SCHEMA() IN ('alura', 'aluraproduction');
SET @skill_attribute_D27_id = (SELECT id FROM SkillAttribute WHERE code = 'D27');
INSERT INTO Skill_SkillAttribute(skill_id, skill_attribute_id) 
SELECT @skill_EF06CO02_id, @skill_attribute_D27_id WHERE SCHEMA() IN ('alura', 'aluraproduction');</v>
      </c>
    </row>
    <row r="29" spans="1:4" ht="15" customHeight="1">
      <c r="A29" s="19" t="s">
        <v>227</v>
      </c>
      <c r="B29" s="13" t="s">
        <v>228</v>
      </c>
      <c r="C29" s="16" t="s">
        <v>40</v>
      </c>
      <c r="D29" s="36" t="str">
        <f t="shared" si="0"/>
        <v>INSERT INTO SkillAttribute(code, title) 
SELECT 'D28', 'Analisar o impacto da modificação de um comando na execução de um algoritmo.' 
WHERE NOT EXISTS (SELECT 1 FROM SkillAttribute WHERE code = 'D28') 
AND SCHEMA() IN ('alura', 'aluraproduction');
SET @skill_attribute_D28_id = (SELECT id FROM SkillAttribute WHERE code = 'D28');
INSERT INTO Skill_SkillAttribute(skill_id, skill_attribute_id) 
SELECT @skill_EF06CO02_id, @skill_attribute_D28_id WHERE SCHEMA() IN ('alura', 'aluraproduction');</v>
      </c>
    </row>
    <row r="30" spans="1:4" ht="15" customHeight="1">
      <c r="A30" s="19" t="s">
        <v>229</v>
      </c>
      <c r="B30" s="14" t="s">
        <v>230</v>
      </c>
      <c r="C30" s="16" t="s">
        <v>42</v>
      </c>
      <c r="D30" s="36" t="str">
        <f t="shared" si="0"/>
        <v>INSERT INTO SkillAttribute(code, title) 
SELECT 'D29', 'Identificar soluções possíveis para problemas computacionais simples.' 
WHERE NOT EXISTS (SELECT 1 FROM SkillAttribute WHERE code = 'D29') 
AND SCHEMA() IN ('alura', 'aluraproduction');
SET @skill_attribute_D29_id = (SELECT id FROM SkillAttribute WHERE code = 'D29');
INSERT INTO Skill_SkillAttribute(skill_id, skill_attribute_id) 
SELECT @skill_EF06CO03_id, @skill_attribute_D29_id WHERE SCHEMA() IN ('alura', 'aluraproduction');</v>
      </c>
    </row>
    <row r="31" spans="1:4" ht="15" customHeight="1">
      <c r="A31" s="19" t="s">
        <v>231</v>
      </c>
      <c r="B31" s="14" t="s">
        <v>232</v>
      </c>
      <c r="C31" s="16" t="s">
        <v>42</v>
      </c>
      <c r="D31" s="36" t="str">
        <f t="shared" si="0"/>
        <v>INSERT INTO SkillAttribute(code, title) 
SELECT 'D30', 'Identificar diferenças entre soluções alternativas para um mesmo problema' 
WHERE NOT EXISTS (SELECT 1 FROM SkillAttribute WHERE code = 'D30') 
AND SCHEMA() IN ('alura', 'aluraproduction');
SET @skill_attribute_D30_id = (SELECT id FROM SkillAttribute WHERE code = 'D30');
INSERT INTO Skill_SkillAttribute(skill_id, skill_attribute_id) 
SELECT @skill_EF06CO03_id, @skill_attribute_D30_id WHERE SCHEMA() IN ('alura', 'aluraproduction');</v>
      </c>
    </row>
    <row r="32" spans="1:4" ht="15" customHeight="1">
      <c r="A32" s="19" t="s">
        <v>233</v>
      </c>
      <c r="B32" s="14" t="s">
        <v>234</v>
      </c>
      <c r="C32" s="16" t="s">
        <v>42</v>
      </c>
      <c r="D32" s="36" t="str">
        <f t="shared" si="0"/>
        <v>INSERT INTO SkillAttribute(code, title) 
SELECT 'D31', 'Identificar padrões ou estruturas comuns em programas que resolvem problemas computacionais.' 
WHERE NOT EXISTS (SELECT 1 FROM SkillAttribute WHERE code = 'D31') 
AND SCHEMA() IN ('alura', 'aluraproduction');
SET @skill_attribute_D31_id = (SELECT id FROM SkillAttribute WHERE code = 'D31');
INSERT INTO Skill_SkillAttribute(skill_id, skill_attribute_id) 
SELECT @skill_EF06CO03_id, @skill_attribute_D31_id WHERE SCHEMA() IN ('alura', 'aluraproduction');</v>
      </c>
    </row>
    <row r="33" spans="1:4" ht="15" customHeight="1">
      <c r="A33" s="19" t="s">
        <v>235</v>
      </c>
      <c r="B33" s="14" t="s">
        <v>236</v>
      </c>
      <c r="C33" s="16" t="s">
        <v>42</v>
      </c>
      <c r="D33" s="36" t="str">
        <f t="shared" si="0"/>
        <v>INSERT INTO SkillAttribute(code, title) 
SELECT 'D32', 'Analisar programas construídos para a implementação de soluções de problemas.' 
WHERE NOT EXISTS (SELECT 1 FROM SkillAttribute WHERE code = 'D32') 
AND SCHEMA() IN ('alura', 'aluraproduction');
SET @skill_attribute_D32_id = (SELECT id FROM SkillAttribute WHERE code = 'D32');
INSERT INTO Skill_SkillAttribute(skill_id, skill_attribute_id) 
SELECT @skill_EF06CO03_id, @skill_attribute_D32_id WHERE SCHEMA() IN ('alura', 'aluraproduction');</v>
      </c>
    </row>
    <row r="34" spans="1:4" ht="15" customHeight="1">
      <c r="A34" s="19" t="s">
        <v>237</v>
      </c>
      <c r="B34" s="13" t="s">
        <v>238</v>
      </c>
      <c r="C34" s="16" t="s">
        <v>42</v>
      </c>
      <c r="D34" s="36" t="str">
        <f t="shared" si="0"/>
        <v>INSERT INTO SkillAttribute(code, title) 
SELECT 'D33', 'Relacionar partes de um programa à estratégia usada para resolver um problema.' 
WHERE NOT EXISTS (SELECT 1 FROM SkillAttribute WHERE code = 'D33') 
AND SCHEMA() IN ('alura', 'aluraproduction');
SET @skill_attribute_D33_id = (SELECT id FROM SkillAttribute WHERE code = 'D33');
INSERT INTO Skill_SkillAttribute(skill_id, skill_attribute_id) 
SELECT @skill_EF06CO03_id, @skill_attribute_D33_id WHERE SCHEMA() IN ('alura', 'aluraproduction');</v>
      </c>
    </row>
    <row r="35" spans="1:4" ht="15" customHeight="1">
      <c r="A35" s="19" t="s">
        <v>239</v>
      </c>
      <c r="B35" s="13" t="s">
        <v>240</v>
      </c>
      <c r="C35" s="16" t="s">
        <v>42</v>
      </c>
      <c r="D35" s="36" t="str">
        <f t="shared" si="0"/>
        <v>INSERT INTO SkillAttribute(code, title) 
SELECT 'D34', 'Compreender a correspondência entre uma descrição de solução e o código que a implementa.' 
WHERE NOT EXISTS (SELECT 1 FROM SkillAttribute WHERE code = 'D34') 
AND SCHEMA() IN ('alura', 'aluraproduction');
SET @skill_attribute_D34_id = (SELECT id FROM SkillAttribute WHERE code = 'D34');
INSERT INTO Skill_SkillAttribute(skill_id, skill_attribute_id) 
SELECT @skill_EF06CO03_id, @skill_attribute_D34_id WHERE SCHEMA() IN ('alura', 'aluraproduction');</v>
      </c>
    </row>
    <row r="36" spans="1:4" ht="15" customHeight="1">
      <c r="A36" s="19" t="s">
        <v>241</v>
      </c>
      <c r="B36" s="13" t="s">
        <v>242</v>
      </c>
      <c r="C36" s="16" t="s">
        <v>42</v>
      </c>
      <c r="D36" s="36" t="str">
        <f t="shared" si="0"/>
        <v>INSERT INTO SkillAttribute(code, title) 
SELECT 'D35', 'Reconhecer comandos ou estruturas responsáveis por resolver partes específicas de um problema.' 
WHERE NOT EXISTS (SELECT 1 FROM SkillAttribute WHERE code = 'D35') 
AND SCHEMA() IN ('alura', 'aluraproduction');
SET @skill_attribute_D35_id = (SELECT id FROM SkillAttribute WHERE code = 'D35');
INSERT INTO Skill_SkillAttribute(skill_id, skill_attribute_id) 
SELECT @skill_EF06CO03_id, @skill_attribute_D35_id WHERE SCHEMA() IN ('alura', 'aluraproduction');</v>
      </c>
    </row>
    <row r="37" spans="1:4" ht="15" customHeight="1">
      <c r="A37" s="19" t="s">
        <v>243</v>
      </c>
      <c r="B37" s="13" t="s">
        <v>244</v>
      </c>
      <c r="C37" s="16" t="s">
        <v>42</v>
      </c>
      <c r="D37" s="36" t="str">
        <f t="shared" si="0"/>
        <v>INSERT INTO SkillAttribute(code, title) 
SELECT 'D36', 'Analisar os efeitos da modificação de comandos em uma solução programada.' 
WHERE NOT EXISTS (SELECT 1 FROM SkillAttribute WHERE code = 'D36') 
AND SCHEMA() IN ('alura', 'aluraproduction');
SET @skill_attribute_D36_id = (SELECT id FROM SkillAttribute WHERE code = 'D36');
INSERT INTO Skill_SkillAttribute(skill_id, skill_attribute_id) 
SELECT @skill_EF06CO03_id, @skill_attribute_D36_id WHERE SCHEMA() IN ('alura', 'aluraproduction');</v>
      </c>
    </row>
    <row r="38" spans="1:4" ht="15" customHeight="1">
      <c r="A38" s="19" t="s">
        <v>245</v>
      </c>
      <c r="B38" s="13" t="s">
        <v>246</v>
      </c>
      <c r="C38" s="16" t="s">
        <v>44</v>
      </c>
      <c r="D38" s="36" t="str">
        <f t="shared" si="0"/>
        <v>INSERT INTO SkillAttribute(code, title) 
SELECT 'D37', 'Identificar partes de um problema.' 
WHERE NOT EXISTS (SELECT 1 FROM SkillAttribute WHERE code = 'D37') 
AND SCHEMA() IN ('alura', 'aluraproduction');
SET @skill_attribute_D37_id = (SELECT id FROM SkillAttribute WHERE code = 'D37');
INSERT INTO Skill_SkillAttribute(skill_id, skill_attribute_id) 
SELECT @skill_EF06CO04_id, @skill_attribute_D37_id WHERE SCHEMA() IN ('alura', 'aluraproduction');</v>
      </c>
    </row>
    <row r="39" spans="1:4" ht="15" customHeight="1">
      <c r="A39" s="19" t="s">
        <v>247</v>
      </c>
      <c r="B39" s="13" t="s">
        <v>248</v>
      </c>
      <c r="C39" s="16" t="s">
        <v>44</v>
      </c>
      <c r="D39" s="36" t="str">
        <f t="shared" si="0"/>
        <v>INSERT INTO SkillAttribute(code, title) 
SELECT 'D38', 'Analisar proposta de solução para um problema decomposto.' 
WHERE NOT EXISTS (SELECT 1 FROM SkillAttribute WHERE code = 'D38') 
AND SCHEMA() IN ('alura', 'aluraproduction');
SET @skill_attribute_D38_id = (SELECT id FROM SkillAttribute WHERE code = 'D38');
INSERT INTO Skill_SkillAttribute(skill_id, skill_attribute_id) 
SELECT @skill_EF06CO04_id, @skill_attribute_D38_id WHERE SCHEMA() IN ('alura', 'aluraproduction');</v>
      </c>
    </row>
    <row r="40" spans="1:4" ht="15" customHeight="1">
      <c r="A40" s="19" t="s">
        <v>249</v>
      </c>
      <c r="B40" s="13" t="s">
        <v>250</v>
      </c>
      <c r="C40" s="16" t="s">
        <v>44</v>
      </c>
      <c r="D40" s="36" t="str">
        <f t="shared" si="0"/>
        <v>INSERT INTO SkillAttribute(code, title) 
SELECT 'D39', 'Analisar soluções para subproblemas.' 
WHERE NOT EXISTS (SELECT 1 FROM SkillAttribute WHERE code = 'D39') 
AND SCHEMA() IN ('alura', 'aluraproduction');
SET @skill_attribute_D39_id = (SELECT id FROM SkillAttribute WHERE code = 'D39');
INSERT INTO Skill_SkillAttribute(skill_id, skill_attribute_id) 
SELECT @skill_EF06CO04_id, @skill_attribute_D39_id WHERE SCHEMA() IN ('alura', 'aluraproduction');</v>
      </c>
    </row>
    <row r="41" spans="1:4" ht="15" customHeight="1">
      <c r="A41" s="19" t="s">
        <v>251</v>
      </c>
      <c r="B41" s="13" t="s">
        <v>252</v>
      </c>
      <c r="C41" s="16" t="s">
        <v>44</v>
      </c>
      <c r="D41" s="36" t="str">
        <f t="shared" si="0"/>
        <v>INSERT INTO SkillAttribute(code, title) 
SELECT 'D40', 'Identificar formas de integração de soluções de subproblemas em uma solução completa.' 
WHERE NOT EXISTS (SELECT 1 FROM SkillAttribute WHERE code = 'D40') 
AND SCHEMA() IN ('alura', 'aluraproduction');
SET @skill_attribute_D40_id = (SELECT id FROM SkillAttribute WHERE code = 'D40');
INSERT INTO Skill_SkillAttribute(skill_id, skill_attribute_id) 
SELECT @skill_EF06CO04_id, @skill_attribute_D40_id WHERE SCHEMA() IN ('alura', 'aluraproduction');</v>
      </c>
    </row>
    <row r="42" spans="1:4" ht="15" customHeight="1">
      <c r="A42" s="19" t="s">
        <v>253</v>
      </c>
      <c r="B42" s="13" t="s">
        <v>254</v>
      </c>
      <c r="C42" s="16" t="s">
        <v>44</v>
      </c>
      <c r="D42" s="36" t="str">
        <f t="shared" si="0"/>
        <v>INSERT INTO SkillAttribute(code, title) 
SELECT 'D41', 'Compreender o uso da técnica de decomposição na resolução de problemas.' 
WHERE NOT EXISTS (SELECT 1 FROM SkillAttribute WHERE code = 'D41') 
AND SCHEMA() IN ('alura', 'aluraproduction');
SET @skill_attribute_D41_id = (SELECT id FROM SkillAttribute WHERE code = 'D41');
INSERT INTO Skill_SkillAttribute(skill_id, skill_attribute_id) 
SELECT @skill_EF06CO04_id, @skill_attribute_D41_id WHERE SCHEMA() IN ('alura', 'aluraproduction');</v>
      </c>
    </row>
    <row r="43" spans="1:4" ht="15" customHeight="1">
      <c r="A43" s="19" t="s">
        <v>255</v>
      </c>
      <c r="B43" s="13" t="s">
        <v>256</v>
      </c>
      <c r="C43" s="16" t="s">
        <v>44</v>
      </c>
      <c r="D43" s="36" t="str">
        <f t="shared" si="0"/>
        <v>INSERT INTO SkillAttribute(code, title) 
SELECT 'D42', 'Identificar a técnica de decomposição na resolução de problemas.' 
WHERE NOT EXISTS (SELECT 1 FROM SkillAttribute WHERE code = 'D42') 
AND SCHEMA() IN ('alura', 'aluraproduction');
SET @skill_attribute_D42_id = (SELECT id FROM SkillAttribute WHERE code = 'D42');
INSERT INTO Skill_SkillAttribute(skill_id, skill_attribute_id) 
SELECT @skill_EF06CO04_id, @skill_attribute_D42_id WHERE SCHEMA() IN ('alura', 'aluraproduction');</v>
      </c>
    </row>
    <row r="44" spans="1:4" ht="15" customHeight="1">
      <c r="A44" s="19" t="s">
        <v>257</v>
      </c>
      <c r="B44" s="13" t="s">
        <v>258</v>
      </c>
      <c r="C44" s="16" t="s">
        <v>44</v>
      </c>
      <c r="D44" s="36" t="str">
        <f t="shared" si="0"/>
        <v>INSERT INTO SkillAttribute(code, title) 
SELECT 'D43', 'Analisar soluções de problemas a partir da técnica de decomposição.' 
WHERE NOT EXISTS (SELECT 1 FROM SkillAttribute WHERE code = 'D43') 
AND SCHEMA() IN ('alura', 'aluraproduction');
SET @skill_attribute_D43_id = (SELECT id FROM SkillAttribute WHERE code = 'D43');
INSERT INTO Skill_SkillAttribute(skill_id, skill_attribute_id) 
SELECT @skill_EF06CO04_id, @skill_attribute_D43_id WHERE SCHEMA() IN ('alura', 'aluraproduction');</v>
      </c>
    </row>
    <row r="45" spans="1:4" ht="15" customHeight="1">
      <c r="A45" s="19" t="s">
        <v>259</v>
      </c>
      <c r="B45" s="13" t="s">
        <v>260</v>
      </c>
      <c r="C45" s="16" t="s">
        <v>44</v>
      </c>
      <c r="D45" s="36" t="str">
        <f t="shared" si="0"/>
        <v>INSERT INTO SkillAttribute(code, title) 
SELECT 'D44', 'Interpretar soluções de problemas que utilizam a linguagem de programação.' 
WHERE NOT EXISTS (SELECT 1 FROM SkillAttribute WHERE code = 'D44') 
AND SCHEMA() IN ('alura', 'aluraproduction');
SET @skill_attribute_D44_id = (SELECT id FROM SkillAttribute WHERE code = 'D44');
INSERT INTO Skill_SkillAttribute(skill_id, skill_attribute_id) 
SELECT @skill_EF06CO04_id, @skill_attribute_D44_id WHERE SCHEMA() IN ('alura', 'aluraproduction');</v>
      </c>
    </row>
    <row r="46" spans="1:4" ht="15" customHeight="1">
      <c r="A46" s="19" t="s">
        <v>261</v>
      </c>
      <c r="B46" s="13" t="s">
        <v>262</v>
      </c>
      <c r="C46" s="16" t="s">
        <v>44</v>
      </c>
      <c r="D46" s="36" t="str">
        <f t="shared" si="0"/>
        <v>INSERT INTO SkillAttribute(code, title) 
SELECT 'D45', 'Compreender automatizações utilizando a linguagem de programação.' 
WHERE NOT EXISTS (SELECT 1 FROM SkillAttribute WHERE code = 'D45') 
AND SCHEMA() IN ('alura', 'aluraproduction');
SET @skill_attribute_D45_id = (SELECT id FROM SkillAttribute WHERE code = 'D45');
INSERT INTO Skill_SkillAttribute(skill_id, skill_attribute_id) 
SELECT @skill_EF06CO04_id, @skill_attribute_D45_id WHERE SCHEMA() IN ('alura', 'aluraproduction');</v>
      </c>
    </row>
    <row r="47" spans="1:4" ht="15" customHeight="1">
      <c r="A47" s="19" t="s">
        <v>263</v>
      </c>
      <c r="B47" s="13" t="s">
        <v>264</v>
      </c>
      <c r="C47" s="16" t="s">
        <v>44</v>
      </c>
      <c r="D47" s="36" t="str">
        <f t="shared" si="0"/>
        <v>INSERT INTO SkillAttribute(code, title) 
SELECT 'D46', 'Identificar formas de automatizar soluções utilizando a linguagem de programação.' 
WHERE NOT EXISTS (SELECT 1 FROM SkillAttribute WHERE code = 'D46') 
AND SCHEMA() IN ('alura', 'aluraproduction');
SET @skill_attribute_D46_id = (SELECT id FROM SkillAttribute WHERE code = 'D46');
INSERT INTO Skill_SkillAttribute(skill_id, skill_attribute_id) 
SELECT @skill_EF06CO04_id, @skill_attribute_D46_id WHERE SCHEMA() IN ('alura', 'aluraproduction');</v>
      </c>
    </row>
    <row r="48" spans="1:4" ht="15" customHeight="1">
      <c r="A48" s="19" t="s">
        <v>265</v>
      </c>
      <c r="B48" s="13" t="s">
        <v>266</v>
      </c>
      <c r="C48" s="16" t="s">
        <v>44</v>
      </c>
      <c r="D48" s="36" t="str">
        <f t="shared" si="0"/>
        <v>INSERT INTO SkillAttribute(code, title) 
SELECT 'D47', 'Analisar automatizações que utilizam a linguagem de programação.' 
WHERE NOT EXISTS (SELECT 1 FROM SkillAttribute WHERE code = 'D47') 
AND SCHEMA() IN ('alura', 'aluraproduction');
SET @skill_attribute_D47_id = (SELECT id FROM SkillAttribute WHERE code = 'D47');
INSERT INTO Skill_SkillAttribute(skill_id, skill_attribute_id) 
SELECT @skill_EF06CO04_id, @skill_attribute_D47_id WHERE SCHEMA() IN ('alura', 'aluraproduction');</v>
      </c>
    </row>
    <row r="49" spans="1:4" ht="15" customHeight="1">
      <c r="A49" s="19" t="s">
        <v>267</v>
      </c>
      <c r="B49" s="13" t="s">
        <v>268</v>
      </c>
      <c r="C49" s="16" t="s">
        <v>44</v>
      </c>
      <c r="D49" s="36" t="str">
        <f t="shared" si="0"/>
        <v>INSERT INTO SkillAttribute(code, title) 
SELECT 'D48', 'Relacionar subproblemas a partes específicas da solução programada.' 
WHERE NOT EXISTS (SELECT 1 FROM SkillAttribute WHERE code = 'D48') 
AND SCHEMA() IN ('alura', 'aluraproduction');
SET @skill_attribute_D48_id = (SELECT id FROM SkillAttribute WHERE code = 'D48');
INSERT INTO Skill_SkillAttribute(skill_id, skill_attribute_id) 
SELECT @skill_EF06CO04_id, @skill_attribute_D48_id WHERE SCHEMA() IN ('alura', 'aluraproduction');</v>
      </c>
    </row>
    <row r="50" spans="1:4" ht="15" customHeight="1">
      <c r="A50" s="19" t="s">
        <v>269</v>
      </c>
      <c r="B50" s="13" t="s">
        <v>270</v>
      </c>
      <c r="C50" s="16" t="s">
        <v>44</v>
      </c>
      <c r="D50" s="36" t="str">
        <f t="shared" si="0"/>
        <v>INSERT INTO SkillAttribute(code, title) 
SELECT 'D49', 'Compreender como a decomposição facilita a construção de programas modulares.' 
WHERE NOT EXISTS (SELECT 1 FROM SkillAttribute WHERE code = 'D49') 
AND SCHEMA() IN ('alura', 'aluraproduction');
SET @skill_attribute_D49_id = (SELECT id FROM SkillAttribute WHERE code = 'D49');
INSERT INTO Skill_SkillAttribute(skill_id, skill_attribute_id) 
SELECT @skill_EF06CO04_id, @skill_attribute_D49_id WHERE SCHEMA() IN ('alura', 'aluraproduction');</v>
      </c>
    </row>
    <row r="51" spans="1:4" ht="15" customHeight="1">
      <c r="A51" s="19" t="s">
        <v>271</v>
      </c>
      <c r="B51" s="13" t="s">
        <v>272</v>
      </c>
      <c r="C51" s="16" t="s">
        <v>44</v>
      </c>
      <c r="D51" s="36" t="str">
        <f t="shared" si="0"/>
        <v>INSERT INTO SkillAttribute(code, title) 
SELECT 'D50', 'Analisar a adequação da decomposição utilizada para resolver um problema.' 
WHERE NOT EXISTS (SELECT 1 FROM SkillAttribute WHERE code = 'D50') 
AND SCHEMA() IN ('alura', 'aluraproduction');
SET @skill_attribute_D50_id = (SELECT id FROM SkillAttribute WHERE code = 'D50');
INSERT INTO Skill_SkillAttribute(skill_id, skill_attribute_id) 
SELECT @skill_EF06CO04_id, @skill_attribute_D50_id WHERE SCHEMA() IN ('alura', 'aluraproduction');</v>
      </c>
    </row>
    <row r="52" spans="1:4" ht="15" customHeight="1">
      <c r="A52" s="19" t="s">
        <v>273</v>
      </c>
      <c r="B52" s="13" t="s">
        <v>274</v>
      </c>
      <c r="C52" s="16" t="s">
        <v>44</v>
      </c>
      <c r="D52" s="36" t="str">
        <f t="shared" si="0"/>
        <v>INSERT INTO SkillAttribute(code, title) 
SELECT 'D51', 'Reconhecer etapas de construção de uma solução automatizada com base em um problema decomposto.' 
WHERE NOT EXISTS (SELECT 1 FROM SkillAttribute WHERE code = 'D51') 
AND SCHEMA() IN ('alura', 'aluraproduction');
SET @skill_attribute_D51_id = (SELECT id FROM SkillAttribute WHERE code = 'D51');
INSERT INTO Skill_SkillAttribute(skill_id, skill_attribute_id) 
SELECT @skill_EF06CO04_id, @skill_attribute_D51_id WHERE SCHEMA() IN ('alura', 'aluraproduction');</v>
      </c>
    </row>
    <row r="53" spans="1:4" ht="15" customHeight="1">
      <c r="A53" s="19" t="s">
        <v>275</v>
      </c>
      <c r="B53" s="14" t="s">
        <v>276</v>
      </c>
      <c r="C53" s="16" t="s">
        <v>46</v>
      </c>
      <c r="D53" s="36" t="str">
        <f t="shared" si="0"/>
        <v>INSERT INTO SkillAttribute(code, title) 
SELECT 'D52', 'Reconhecer o que são entrada e saídas.' 
WHERE NOT EXISTS (SELECT 1 FROM SkillAttribute WHERE code = 'D52') 
AND SCHEMA() IN ('alura', 'aluraproduction');
SET @skill_attribute_D52_id = (SELECT id FROM SkillAttribute WHERE code = 'D52');
INSERT INTO Skill_SkillAttribute(skill_id, skill_attribute_id) 
SELECT @skill_EF06CO05_id, @skill_attribute_D52_id WHERE SCHEMA() IN ('alura', 'aluraproduction');</v>
      </c>
    </row>
    <row r="54" spans="1:4" ht="15" customHeight="1">
      <c r="A54" s="19" t="s">
        <v>277</v>
      </c>
      <c r="B54" s="14" t="s">
        <v>278</v>
      </c>
      <c r="C54" s="16" t="s">
        <v>46</v>
      </c>
      <c r="D54" s="36" t="str">
        <f t="shared" si="0"/>
        <v>INSERT INTO SkillAttribute(code, title) 
SELECT 'D53', 'Identificar diferentes tipos de dados. ' 
WHERE NOT EXISTS (SELECT 1 FROM SkillAttribute WHERE code = 'D53') 
AND SCHEMA() IN ('alura', 'aluraproduction');
SET @skill_attribute_D53_id = (SELECT id FROM SkillAttribute WHERE code = 'D53');
INSERT INTO Skill_SkillAttribute(skill_id, skill_attribute_id) 
SELECT @skill_EF06CO05_id, @skill_attribute_D53_id WHERE SCHEMA() IN ('alura', 'aluraproduction');</v>
      </c>
    </row>
    <row r="55" spans="1:4" ht="15" customHeight="1">
      <c r="A55" s="19" t="s">
        <v>279</v>
      </c>
      <c r="B55" s="14" t="s">
        <v>280</v>
      </c>
      <c r="C55" s="16" t="s">
        <v>46</v>
      </c>
      <c r="D55" s="36" t="str">
        <f t="shared" si="0"/>
        <v>INSERT INTO SkillAttribute(code, title) 
SELECT 'D54', 'Identificar um problema computacional a partir de seus insumos e resultados.' 
WHERE NOT EXISTS (SELECT 1 FROM SkillAttribute WHERE code = 'D54') 
AND SCHEMA() IN ('alura', 'aluraproduction');
SET @skill_attribute_D54_id = (SELECT id FROM SkillAttribute WHERE code = 'D54');
INSERT INTO Skill_SkillAttribute(skill_id, skill_attribute_id) 
SELECT @skill_EF06CO05_id, @skill_attribute_D54_id WHERE SCHEMA() IN ('alura', 'aluraproduction');</v>
      </c>
    </row>
    <row r="56" spans="1:4" ht="15" customHeight="1">
      <c r="A56" s="19" t="s">
        <v>281</v>
      </c>
      <c r="B56" s="14" t="s">
        <v>282</v>
      </c>
      <c r="C56" s="16" t="s">
        <v>46</v>
      </c>
      <c r="D56" s="36" t="str">
        <f t="shared" si="0"/>
        <v>INSERT INTO SkillAttribute(code, title) 
SELECT 'D55', 'Reconhecer os tipos de dados das entradas em um problema.' 
WHERE NOT EXISTS (SELECT 1 FROM SkillAttribute WHERE code = 'D55') 
AND SCHEMA() IN ('alura', 'aluraproduction');
SET @skill_attribute_D55_id = (SELECT id FROM SkillAttribute WHERE code = 'D55');
INSERT INTO Skill_SkillAttribute(skill_id, skill_attribute_id) 
SELECT @skill_EF06CO05_id, @skill_attribute_D55_id WHERE SCHEMA() IN ('alura', 'aluraproduction');</v>
      </c>
    </row>
    <row r="57" spans="1:4" ht="15" customHeight="1">
      <c r="A57" s="19" t="s">
        <v>283</v>
      </c>
      <c r="B57" s="14" t="s">
        <v>284</v>
      </c>
      <c r="C57" s="16" t="s">
        <v>46</v>
      </c>
      <c r="D57" s="36" t="str">
        <f t="shared" si="0"/>
        <v>INSERT INTO SkillAttribute(code, title) 
SELECT 'D56', 'Reconhecer os tipos de dados das saídas em um problema.' 
WHERE NOT EXISTS (SELECT 1 FROM SkillAttribute WHERE code = 'D56') 
AND SCHEMA() IN ('alura', 'aluraproduction');
SET @skill_attribute_D56_id = (SELECT id FROM SkillAttribute WHERE code = 'D56');
INSERT INTO Skill_SkillAttribute(skill_id, skill_attribute_id) 
SELECT @skill_EF06CO05_id, @skill_attribute_D56_id WHERE SCHEMA() IN ('alura', 'aluraproduction');</v>
      </c>
    </row>
    <row r="58" spans="1:4" ht="15" customHeight="1">
      <c r="A58" s="19" t="s">
        <v>285</v>
      </c>
      <c r="B58" s="14" t="s">
        <v>286</v>
      </c>
      <c r="C58" s="16" t="s">
        <v>46</v>
      </c>
      <c r="D58" s="36" t="str">
        <f t="shared" si="0"/>
        <v>INSERT INTO SkillAttribute(code, title) 
SELECT 'D57', 'Determinar tipos de dados de saída na resolução de um problema.' 
WHERE NOT EXISTS (SELECT 1 FROM SkillAttribute WHERE code = 'D57') 
AND SCHEMA() IN ('alura', 'aluraproduction');
SET @skill_attribute_D57_id = (SELECT id FROM SkillAttribute WHERE code = 'D57');
INSERT INTO Skill_SkillAttribute(skill_id, skill_attribute_id) 
SELECT @skill_EF06CO05_id, @skill_attribute_D57_id WHERE SCHEMA() IN ('alura', 'aluraproduction');</v>
      </c>
    </row>
    <row r="59" spans="1:4" ht="15" customHeight="1">
      <c r="A59" s="19" t="s">
        <v>287</v>
      </c>
      <c r="B59" s="14" t="s">
        <v>288</v>
      </c>
      <c r="C59" s="16" t="s">
        <v>46</v>
      </c>
      <c r="D59" s="36" t="str">
        <f t="shared" si="0"/>
        <v>INSERT INTO SkillAttribute(code, title) 
SELECT 'D58', 'Determinar tipos de dados de entrada na resolução de um problema.' 
WHERE NOT EXISTS (SELECT 1 FROM SkillAttribute WHERE code = 'D58') 
AND SCHEMA() IN ('alura', 'aluraproduction');
SET @skill_attribute_D58_id = (SELECT id FROM SkillAttribute WHERE code = 'D58');
INSERT INTO Skill_SkillAttribute(skill_id, skill_attribute_id) 
SELECT @skill_EF06CO05_id, @skill_attribute_D58_id WHERE SCHEMA() IN ('alura', 'aluraproduction');</v>
      </c>
    </row>
    <row r="60" spans="1:4" ht="15" customHeight="1">
      <c r="A60" s="19" t="s">
        <v>289</v>
      </c>
      <c r="B60" s="13" t="s">
        <v>290</v>
      </c>
      <c r="C60" s="16" t="s">
        <v>46</v>
      </c>
      <c r="D60" s="36" t="str">
        <f t="shared" si="0"/>
        <v>INSERT INTO SkillAttribute(code, title) 
SELECT 'D59', 'Relacionar os dados de entrada de um problema aos dados de saída esperados. ' 
WHERE NOT EXISTS (SELECT 1 FROM SkillAttribute WHERE code = 'D59') 
AND SCHEMA() IN ('alura', 'aluraproduction');
SET @skill_attribute_D59_id = (SELECT id FROM SkillAttribute WHERE code = 'D59');
INSERT INTO Skill_SkillAttribute(skill_id, skill_attribute_id) 
SELECT @skill_EF06CO05_id, @skill_attribute_D59_id WHERE SCHEMA() IN ('alura', 'aluraproduction');</v>
      </c>
    </row>
    <row r="61" spans="1:4" ht="15" customHeight="1">
      <c r="A61" s="19" t="s">
        <v>291</v>
      </c>
      <c r="B61" s="13" t="s">
        <v>292</v>
      </c>
      <c r="C61" s="16" t="s">
        <v>46</v>
      </c>
      <c r="D61" s="36" t="str">
        <f t="shared" si="0"/>
        <v>INSERT INTO SkillAttribute(code, title) 
SELECT 'D60', 'Compreender a relação entre os insumos fornecidos e os resultados esperados de um problema.' 
WHERE NOT EXISTS (SELECT 1 FROM SkillAttribute WHERE code = 'D60') 
AND SCHEMA() IN ('alura', 'aluraproduction');
SET @skill_attribute_D60_id = (SELECT id FROM SkillAttribute WHERE code = 'D60');
INSERT INTO Skill_SkillAttribute(skill_id, skill_attribute_id) 
SELECT @skill_EF06CO05_id, @skill_attribute_D60_id WHERE SCHEMA() IN ('alura', 'aluraproduction');</v>
      </c>
    </row>
    <row r="62" spans="1:4" ht="15" customHeight="1">
      <c r="A62" s="19" t="s">
        <v>293</v>
      </c>
      <c r="B62" s="13" t="s">
        <v>294</v>
      </c>
      <c r="C62" s="16" t="s">
        <v>46</v>
      </c>
      <c r="D62" s="36" t="str">
        <f t="shared" si="0"/>
        <v>INSERT INTO SkillAttribute(code, title) 
SELECT 'D61', 'Analisar a completude de uma definição de problema com base nas entradas, saídas e seus tipos de dados.' 
WHERE NOT EXISTS (SELECT 1 FROM SkillAttribute WHERE code = 'D61') 
AND SCHEMA() IN ('alura', 'aluraproduction');
SET @skill_attribute_D61_id = (SELECT id FROM SkillAttribute WHERE code = 'D61');
INSERT INTO Skill_SkillAttribute(skill_id, skill_attribute_id) 
SELECT @skill_EF06CO05_id, @skill_attribute_D61_id WHERE SCHEMA() IN ('alura', 'aluraproduction');</v>
      </c>
    </row>
    <row r="63" spans="1:4" ht="15" customHeight="1">
      <c r="A63" s="20" t="s">
        <v>295</v>
      </c>
      <c r="B63" s="15" t="s">
        <v>296</v>
      </c>
      <c r="C63" s="16" t="s">
        <v>48</v>
      </c>
      <c r="D63" s="36" t="str">
        <f t="shared" si="0"/>
        <v>INSERT INTO SkillAttribute(code, title) 
SELECT 'D473', 'Identificar semelhanças entre instâncias específicas de um mesmo problema.' 
WHERE NOT EXISTS (SELECT 1 FROM SkillAttribute WHERE code = 'D473') 
AND SCHEMA() IN ('alura', 'aluraproduction');
SET @skill_attribute_D473_id = (SELECT id FROM SkillAttribute WHERE code = 'D473');
INSERT INTO Skill_SkillAttribute(skill_id, skill_attribute_id) 
SELECT @skill_EF06CO06_id, @skill_attribute_D473_id WHERE SCHEMA() IN ('alura', 'aluraproduction');</v>
      </c>
    </row>
    <row r="64" spans="1:4" ht="15" customHeight="1">
      <c r="A64" s="20" t="s">
        <v>297</v>
      </c>
      <c r="B64" s="15" t="s">
        <v>298</v>
      </c>
      <c r="C64" s="16" t="s">
        <v>48</v>
      </c>
      <c r="D64" s="36" t="str">
        <f t="shared" si="0"/>
        <v>INSERT INTO SkillAttribute(code, title) 
SELECT 'D474', 'Compreender diferenças entre casos particulares de um mesmo problema.' 
WHERE NOT EXISTS (SELECT 1 FROM SkillAttribute WHERE code = 'D474') 
AND SCHEMA() IN ('alura', 'aluraproduction');
SET @skill_attribute_D474_id = (SELECT id FROM SkillAttribute WHERE code = 'D474');
INSERT INTO Skill_SkillAttribute(skill_id, skill_attribute_id) 
SELECT @skill_EF06CO06_id, @skill_attribute_D474_id WHERE SCHEMA() IN ('alura', 'aluraproduction');</v>
      </c>
    </row>
    <row r="65" spans="1:4" ht="15" customHeight="1">
      <c r="A65" s="20" t="s">
        <v>299</v>
      </c>
      <c r="B65" s="15" t="s">
        <v>300</v>
      </c>
      <c r="C65" s="16" t="s">
        <v>48</v>
      </c>
      <c r="D65" s="36" t="str">
        <f t="shared" si="0"/>
        <v>INSERT INTO SkillAttribute(code, title) 
SELECT 'D475', 'Analisar estruturas comuns entre instâncias de um mesmo problema.' 
WHERE NOT EXISTS (SELECT 1 FROM SkillAttribute WHERE code = 'D475') 
AND SCHEMA() IN ('alura', 'aluraproduction');
SET @skill_attribute_D475_id = (SELECT id FROM SkillAttribute WHERE code = 'D475');
INSERT INTO Skill_SkillAttribute(skill_id, skill_attribute_id) 
SELECT @skill_EF06CO06_id, @skill_attribute_D475_id WHERE SCHEMA() IN ('alura', 'aluraproduction');</v>
      </c>
    </row>
    <row r="66" spans="1:4" ht="15" customHeight="1">
      <c r="A66" s="20" t="s">
        <v>301</v>
      </c>
      <c r="B66" s="15" t="s">
        <v>302</v>
      </c>
      <c r="C66" s="16" t="s">
        <v>48</v>
      </c>
      <c r="D66" s="36" t="str">
        <f t="shared" si="0"/>
        <v>INSERT INTO SkillAttribute(code, title) 
SELECT 'D476', 'Analisar parâmetros comuns entre instâncias de um mesmo problema.' 
WHERE NOT EXISTS (SELECT 1 FROM SkillAttribute WHERE code = 'D476') 
AND SCHEMA() IN ('alura', 'aluraproduction');
SET @skill_attribute_D476_id = (SELECT id FROM SkillAttribute WHERE code = 'D476');
INSERT INTO Skill_SkillAttribute(skill_id, skill_attribute_id) 
SELECT @skill_EF06CO06_id, @skill_attribute_D476_id WHERE SCHEMA() IN ('alura', 'aluraproduction');</v>
      </c>
    </row>
    <row r="67" spans="1:4" ht="15" customHeight="1">
      <c r="A67" s="20" t="s">
        <v>303</v>
      </c>
      <c r="B67" s="15" t="s">
        <v>304</v>
      </c>
      <c r="C67" s="16" t="s">
        <v>48</v>
      </c>
      <c r="D67" s="36" t="str">
        <f t="shared" ref="D67:D130" si="1">"INSERT INTO SkillAttribute(code, title) " &amp; CHAR(10) &amp;
"SELECT '" &amp; A67 &amp; "', '" &amp; SUBSTITUTE(B67, "'", "''") &amp; "' " &amp; CHAR(10) &amp;
"WHERE NOT EXISTS (SELECT 1 FROM SkillAttribute WHERE code = '" &amp; A67 &amp; "') " &amp; CHAR(10) &amp;
"AND SCHEMA() IN ('alura', 'aluraproduction');" &amp;
CHAR(10) &amp; CHAR(10) &amp;
"SET @skill_attribute_" &amp; A67 &amp; "_id = (SELECT id FROM SkillAttribute WHERE code = '" &amp; A67 &amp; "');" &amp;
CHAR(10) &amp; CHAR(10) &amp;
"INSERT INTO Skill_SkillAttribute(skill_id, skill_attribute_id) " &amp; CHAR(10) &amp;
"SELECT @skill_" &amp; C67 &amp; "_id, @skill_attribute_" &amp; A67 &amp; "_id WHERE SCHEMA() IN ('alura', 'aluraproduction');"</f>
        <v>INSERT INTO SkillAttribute(code, title) 
SELECT 'D477', 'Identificar elementos de entrada que se repetem em diferentes instâncias de um problema.' 
WHERE NOT EXISTS (SELECT 1 FROM SkillAttribute WHERE code = 'D477') 
AND SCHEMA() IN ('alura', 'aluraproduction');
SET @skill_attribute_D477_id = (SELECT id FROM SkillAttribute WHERE code = 'D477');
INSERT INTO Skill_SkillAttribute(skill_id, skill_attribute_id) 
SELECT @skill_EF06CO06_id, @skill_attribute_D477_id WHERE SCHEMA() IN ('alura', 'aluraproduction');</v>
      </c>
    </row>
    <row r="68" spans="1:4" ht="15" customHeight="1">
      <c r="A68" s="20" t="s">
        <v>305</v>
      </c>
      <c r="B68" s="15" t="s">
        <v>306</v>
      </c>
      <c r="C68" s="16" t="s">
        <v>48</v>
      </c>
      <c r="D68" s="36" t="str">
        <f t="shared" si="1"/>
        <v>INSERT INTO SkillAttribute(code, title) 
SELECT 'D478', 'Identificar etapas de processamento que se repetem em diferentes instâncias de um problema.' 
WHERE NOT EXISTS (SELECT 1 FROM SkillAttribute WHERE code = 'D478') 
AND SCHEMA() IN ('alura', 'aluraproduction');
SET @skill_attribute_D478_id = (SELECT id FROM SkillAttribute WHERE code = 'D478');
INSERT INTO Skill_SkillAttribute(skill_id, skill_attribute_id) 
SELECT @skill_EF06CO06_id, @skill_attribute_D478_id WHERE SCHEMA() IN ('alura', 'aluraproduction');</v>
      </c>
    </row>
    <row r="69" spans="1:4" ht="15" customHeight="1">
      <c r="A69" s="20" t="s">
        <v>307</v>
      </c>
      <c r="B69" s="15" t="s">
        <v>308</v>
      </c>
      <c r="C69" s="16" t="s">
        <v>48</v>
      </c>
      <c r="D69" s="36" t="str">
        <f t="shared" si="1"/>
        <v>INSERT INTO SkillAttribute(code, title) 
SELECT 'D479', 'Compreender como um problema pode ser resolvido de forma genérica.' 
WHERE NOT EXISTS (SELECT 1 FROM SkillAttribute WHERE code = 'D479') 
AND SCHEMA() IN ('alura', 'aluraproduction');
SET @skill_attribute_D479_id = (SELECT id FROM SkillAttribute WHERE code = 'D479');
INSERT INTO Skill_SkillAttribute(skill_id, skill_attribute_id) 
SELECT @skill_EF06CO06_id, @skill_attribute_D479_id WHERE SCHEMA() IN ('alura', 'aluraproduction');</v>
      </c>
    </row>
    <row r="70" spans="1:4" ht="15" customHeight="1">
      <c r="A70" s="20" t="s">
        <v>309</v>
      </c>
      <c r="B70" s="15" t="s">
        <v>310</v>
      </c>
      <c r="C70" s="16" t="s">
        <v>48</v>
      </c>
      <c r="D70" s="36" t="str">
        <f t="shared" si="1"/>
        <v>INSERT INTO SkillAttribute(code, title) 
SELECT 'D480', 'Analisar formas de generalizar soluções para diferentes casos.' 
WHERE NOT EXISTS (SELECT 1 FROM SkillAttribute WHERE code = 'D480') 
AND SCHEMA() IN ('alura', 'aluraproduction');
SET @skill_attribute_D480_id = (SELECT id FROM SkillAttribute WHERE code = 'D480');
INSERT INTO Skill_SkillAttribute(skill_id, skill_attribute_id) 
SELECT @skill_EF06CO06_id, @skill_attribute_D480_id WHERE SCHEMA() IN ('alura', 'aluraproduction');</v>
      </c>
    </row>
    <row r="71" spans="1:4" ht="15" customHeight="1">
      <c r="A71" s="20" t="s">
        <v>311</v>
      </c>
      <c r="B71" s="15" t="s">
        <v>312</v>
      </c>
      <c r="C71" s="16" t="s">
        <v>48</v>
      </c>
      <c r="D71" s="36" t="str">
        <f t="shared" si="1"/>
        <v>INSERT INTO SkillAttribute(code, title) 
SELECT 'D481', 'Identificar o uso de variáveis na resolução de problemas.' 
WHERE NOT EXISTS (SELECT 1 FROM SkillAttribute WHERE code = 'D481') 
AND SCHEMA() IN ('alura', 'aluraproduction');
SET @skill_attribute_D481_id = (SELECT id FROM SkillAttribute WHERE code = 'D481');
INSERT INTO Skill_SkillAttribute(skill_id, skill_attribute_id) 
SELECT @skill_EF06CO06_id, @skill_attribute_D481_id WHERE SCHEMA() IN ('alura', 'aluraproduction');</v>
      </c>
    </row>
    <row r="72" spans="1:4" ht="15" customHeight="1">
      <c r="A72" s="20" t="s">
        <v>313</v>
      </c>
      <c r="B72" s="15" t="s">
        <v>314</v>
      </c>
      <c r="C72" s="16" t="s">
        <v>48</v>
      </c>
      <c r="D72" s="36" t="str">
        <f t="shared" si="1"/>
        <v>INSERT INTO SkillAttribute(code, title) 
SELECT 'D482', 'Compreender a função de variáveis na criação de soluções genéricas.' 
WHERE NOT EXISTS (SELECT 1 FROM SkillAttribute WHERE code = 'D482') 
AND SCHEMA() IN ('alura', 'aluraproduction');
SET @skill_attribute_D482_id = (SELECT id FROM SkillAttribute WHERE code = 'D482');
INSERT INTO Skill_SkillAttribute(skill_id, skill_attribute_id) 
SELECT @skill_EF06CO06_id, @skill_attribute_D482_id WHERE SCHEMA() IN ('alura', 'aluraproduction');</v>
      </c>
    </row>
    <row r="73" spans="1:4" ht="15" customHeight="1">
      <c r="A73" s="20" t="s">
        <v>315</v>
      </c>
      <c r="B73" s="15" t="s">
        <v>316</v>
      </c>
      <c r="C73" s="16" t="s">
        <v>48</v>
      </c>
      <c r="D73" s="36" t="str">
        <f t="shared" si="1"/>
        <v>INSERT INTO SkillAttribute(code, title) 
SELECT 'D483', 'Analisar como variáveis contribuem para adaptar um algoritmo a diferentes situações.' 
WHERE NOT EXISTS (SELECT 1 FROM SkillAttribute WHERE code = 'D483') 
AND SCHEMA() IN ('alura', 'aluraproduction');
SET @skill_attribute_D483_id = (SELECT id FROM SkillAttribute WHERE code = 'D483');
INSERT INTO Skill_SkillAttribute(skill_id, skill_attribute_id) 
SELECT @skill_EF06CO06_id, @skill_attribute_D483_id WHERE SCHEMA() IN ('alura', 'aluraproduction');</v>
      </c>
    </row>
    <row r="74" spans="1:4" ht="15" customHeight="1">
      <c r="A74" s="20" t="s">
        <v>317</v>
      </c>
      <c r="B74" s="15" t="s">
        <v>318</v>
      </c>
      <c r="C74" s="16" t="s">
        <v>48</v>
      </c>
      <c r="D74" s="36" t="str">
        <f t="shared" si="1"/>
        <v>INSERT INTO SkillAttribute(code, title) 
SELECT 'D484', 'Identificar algoritmos que resolvem mais de um caso.' 
WHERE NOT EXISTS (SELECT 1 FROM SkillAttribute WHERE code = 'D484') 
AND SCHEMA() IN ('alura', 'aluraproduction');
SET @skill_attribute_D484_id = (SELECT id FROM SkillAttribute WHERE code = 'D484');
INSERT INTO Skill_SkillAttribute(skill_id, skill_attribute_id) 
SELECT @skill_EF06CO06_id, @skill_attribute_D484_id WHERE SCHEMA() IN ('alura', 'aluraproduction');</v>
      </c>
    </row>
    <row r="75" spans="1:4" ht="15" customHeight="1">
      <c r="A75" s="20" t="s">
        <v>319</v>
      </c>
      <c r="B75" s="15" t="s">
        <v>320</v>
      </c>
      <c r="C75" s="16" t="s">
        <v>48</v>
      </c>
      <c r="D75" s="36" t="str">
        <f t="shared" si="1"/>
        <v>INSERT INTO SkillAttribute(code, title) 
SELECT 'D485', 'Compreender soluções que tratam diferentes situações de forma unificada.' 
WHERE NOT EXISTS (SELECT 1 FROM SkillAttribute WHERE code = 'D485') 
AND SCHEMA() IN ('alura', 'aluraproduction');
SET @skill_attribute_D485_id = (SELECT id FROM SkillAttribute WHERE code = 'D485');
INSERT INTO Skill_SkillAttribute(skill_id, skill_attribute_id) 
SELECT @skill_EF06CO06_id, @skill_attribute_D485_id WHERE SCHEMA() IN ('alura', 'aluraproduction');</v>
      </c>
    </row>
    <row r="76" spans="1:4" ht="15" customHeight="1">
      <c r="A76" s="20" t="s">
        <v>321</v>
      </c>
      <c r="B76" s="15" t="s">
        <v>322</v>
      </c>
      <c r="C76" s="16" t="s">
        <v>48</v>
      </c>
      <c r="D76" s="36" t="str">
        <f t="shared" si="1"/>
        <v>INSERT INTO SkillAttribute(code, title) 
SELECT 'D486', 'Analisar estratégias utilizadas para resolver diferentes casos com um único algoritmo.' 
WHERE NOT EXISTS (SELECT 1 FROM SkillAttribute WHERE code = 'D486') 
AND SCHEMA() IN ('alura', 'aluraproduction');
SET @skill_attribute_D486_id = (SELECT id FROM SkillAttribute WHERE code = 'D486');
INSERT INTO Skill_SkillAttribute(skill_id, skill_attribute_id) 
SELECT @skill_EF06CO06_id, @skill_attribute_D486_id WHERE SCHEMA() IN ('alura', 'aluraproduction');</v>
      </c>
    </row>
    <row r="77" spans="1:4" ht="15" customHeight="1">
      <c r="A77" s="19" t="s">
        <v>323</v>
      </c>
      <c r="B77" s="14" t="s">
        <v>324</v>
      </c>
      <c r="C77" s="16" t="s">
        <v>50</v>
      </c>
      <c r="D77" s="36" t="str">
        <f t="shared" si="1"/>
        <v>INSERT INTO SkillAttribute(code, title) 
SELECT 'D144', 'Reconhecer o conceito de transmissão de dados.' 
WHERE NOT EXISTS (SELECT 1 FROM SkillAttribute WHERE code = 'D144') 
AND SCHEMA() IN ('alura', 'aluraproduction');
SET @skill_attribute_D144_id = (SELECT id FROM SkillAttribute WHERE code = 'D144');
INSERT INTO Skill_SkillAttribute(skill_id, skill_attribute_id) 
SELECT @skill_EF06CO07_id, @skill_attribute_D144_id WHERE SCHEMA() IN ('alura', 'aluraproduction');</v>
      </c>
    </row>
    <row r="78" spans="1:4" ht="15" customHeight="1">
      <c r="A78" s="19" t="s">
        <v>325</v>
      </c>
      <c r="B78" s="14" t="s">
        <v>326</v>
      </c>
      <c r="C78" s="16" t="s">
        <v>50</v>
      </c>
      <c r="D78" s="36" t="str">
        <f t="shared" si="1"/>
        <v>INSERT INTO SkillAttribute(code, title) 
SELECT 'D145', 'Compreender a divisão da informação em pedaços.' 
WHERE NOT EXISTS (SELECT 1 FROM SkillAttribute WHERE code = 'D145') 
AND SCHEMA() IN ('alura', 'aluraproduction');
SET @skill_attribute_D145_id = (SELECT id FROM SkillAttribute WHERE code = 'D145');
INSERT INTO Skill_SkillAttribute(skill_id, skill_attribute_id) 
SELECT @skill_EF06CO07_id, @skill_attribute_D145_id WHERE SCHEMA() IN ('alura', 'aluraproduction');</v>
      </c>
    </row>
    <row r="79" spans="1:4" ht="15" customHeight="1">
      <c r="A79" s="19" t="s">
        <v>327</v>
      </c>
      <c r="B79" s="14" t="s">
        <v>328</v>
      </c>
      <c r="C79" s="16" t="s">
        <v>50</v>
      </c>
      <c r="D79" s="36" t="str">
        <f t="shared" si="1"/>
        <v>INSERT INTO SkillAttribute(code, title) 
SELECT 'D146', 'Identificar pacotes de dados' 
WHERE NOT EXISTS (SELECT 1 FROM SkillAttribute WHERE code = 'D146') 
AND SCHEMA() IN ('alura', 'aluraproduction');
SET @skill_attribute_D146_id = (SELECT id FROM SkillAttribute WHERE code = 'D146');
INSERT INTO Skill_SkillAttribute(skill_id, skill_attribute_id) 
SELECT @skill_EF06CO07_id, @skill_attribute_D146_id WHERE SCHEMA() IN ('alura', 'aluraproduction');</v>
      </c>
    </row>
    <row r="80" spans="1:4" ht="15" customHeight="1">
      <c r="A80" s="19" t="s">
        <v>329</v>
      </c>
      <c r="B80" s="14" t="s">
        <v>330</v>
      </c>
      <c r="C80" s="16" t="s">
        <v>50</v>
      </c>
      <c r="D80" s="36" t="str">
        <f t="shared" si="1"/>
        <v>INSERT INTO SkillAttribute(code, title) 
SELECT 'D147', 'Identificar estruturas básicas de pacotes de dados.' 
WHERE NOT EXISTS (SELECT 1 FROM SkillAttribute WHERE code = 'D147') 
AND SCHEMA() IN ('alura', 'aluraproduction');
SET @skill_attribute_D147_id = (SELECT id FROM SkillAttribute WHERE code = 'D147');
INSERT INTO Skill_SkillAttribute(skill_id, skill_attribute_id) 
SELECT @skill_EF06CO07_id, @skill_attribute_D147_id WHERE SCHEMA() IN ('alura', 'aluraproduction');</v>
      </c>
    </row>
    <row r="81" spans="1:4" ht="15" customHeight="1">
      <c r="A81" s="19" t="s">
        <v>331</v>
      </c>
      <c r="B81" s="14" t="s">
        <v>332</v>
      </c>
      <c r="C81" s="16" t="s">
        <v>50</v>
      </c>
      <c r="D81" s="36" t="str">
        <f t="shared" si="1"/>
        <v>INSERT INTO SkillAttribute(code, title) 
SELECT 'D148', 'Identificar o papel de diferentes equipamentos (roteadores, switches e servidores) na transmissão de dados.' 
WHERE NOT EXISTS (SELECT 1 FROM SkillAttribute WHERE code = 'D148') 
AND SCHEMA() IN ('alura', 'aluraproduction');
SET @skill_attribute_D148_id = (SELECT id FROM SkillAttribute WHERE code = 'D148');
INSERT INTO Skill_SkillAttribute(skill_id, skill_attribute_id) 
SELECT @skill_EF06CO07_id, @skill_attribute_D148_id WHERE SCHEMA() IN ('alura', 'aluraproduction');</v>
      </c>
    </row>
    <row r="82" spans="1:4" ht="15" customHeight="1">
      <c r="A82" s="19" t="s">
        <v>333</v>
      </c>
      <c r="B82" s="14" t="s">
        <v>334</v>
      </c>
      <c r="C82" s="16" t="s">
        <v>50</v>
      </c>
      <c r="D82" s="36" t="str">
        <f t="shared" si="1"/>
        <v>INSERT INTO SkillAttribute(code, title) 
SELECT 'D149', 'Analisar o caminho de um pacote através de múltiplos equipamentos.' 
WHERE NOT EXISTS (SELECT 1 FROM SkillAttribute WHERE code = 'D149') 
AND SCHEMA() IN ('alura', 'aluraproduction');
SET @skill_attribute_D149_id = (SELECT id FROM SkillAttribute WHERE code = 'D149');
INSERT INTO Skill_SkillAttribute(skill_id, skill_attribute_id) 
SELECT @skill_EF06CO07_id, @skill_attribute_D149_id WHERE SCHEMA() IN ('alura', 'aluraproduction');</v>
      </c>
    </row>
    <row r="83" spans="1:4" ht="15" customHeight="1">
      <c r="A83" s="19" t="s">
        <v>335</v>
      </c>
      <c r="B83" s="14" t="s">
        <v>336</v>
      </c>
      <c r="C83" s="16" t="s">
        <v>50</v>
      </c>
      <c r="D83" s="36" t="str">
        <f t="shared" si="1"/>
        <v>INSERT INTO SkillAttribute(code, title) 
SELECT 'D150', 'Compreender como os pacotes são reorganizados no destino para reconstruir a informação original.' 
WHERE NOT EXISTS (SELECT 1 FROM SkillAttribute WHERE code = 'D150') 
AND SCHEMA() IN ('alura', 'aluraproduction');
SET @skill_attribute_D150_id = (SELECT id FROM SkillAttribute WHERE code = 'D150');
INSERT INTO Skill_SkillAttribute(skill_id, skill_attribute_id) 
SELECT @skill_EF06CO07_id, @skill_attribute_D150_id WHERE SCHEMA() IN ('alura', 'aluraproduction');</v>
      </c>
    </row>
    <row r="84" spans="1:4" ht="15" customHeight="1">
      <c r="A84" s="19" t="s">
        <v>337</v>
      </c>
      <c r="B84" s="14" t="s">
        <v>338</v>
      </c>
      <c r="C84" s="16" t="s">
        <v>50</v>
      </c>
      <c r="D84" s="36" t="str">
        <f t="shared" si="1"/>
        <v>INSERT INTO SkillAttribute(code, title) 
SELECT 'D151', 'Identificar possíveis problemas na transmissão de dados.' 
WHERE NOT EXISTS (SELECT 1 FROM SkillAttribute WHERE code = 'D151') 
AND SCHEMA() IN ('alura', 'aluraproduction');
SET @skill_attribute_D151_id = (SELECT id FROM SkillAttribute WHERE code = 'D151');
INSERT INTO Skill_SkillAttribute(skill_id, skill_attribute_id) 
SELECT @skill_EF06CO07_id, @skill_attribute_D151_id WHERE SCHEMA() IN ('alura', 'aluraproduction');</v>
      </c>
    </row>
    <row r="85" spans="1:4" ht="15" customHeight="1">
      <c r="A85" s="19" t="s">
        <v>339</v>
      </c>
      <c r="B85" s="14" t="s">
        <v>340</v>
      </c>
      <c r="C85" s="16" t="s">
        <v>50</v>
      </c>
      <c r="D85" s="36" t="str">
        <f t="shared" si="1"/>
        <v>INSERT INTO SkillAttribute(code, title) 
SELECT 'D152', 'Relacionar o processo de transmissão de dados a protocolos de rede.' 
WHERE NOT EXISTS (SELECT 1 FROM SkillAttribute WHERE code = 'D152') 
AND SCHEMA() IN ('alura', 'aluraproduction');
SET @skill_attribute_D152_id = (SELECT id FROM SkillAttribute WHERE code = 'D152');
INSERT INTO Skill_SkillAttribute(skill_id, skill_attribute_id) 
SELECT @skill_EF06CO07_id, @skill_attribute_D152_id WHERE SCHEMA() IN ('alura', 'aluraproduction');</v>
      </c>
    </row>
    <row r="86" spans="1:4" ht="15" customHeight="1">
      <c r="A86" s="19" t="s">
        <v>341</v>
      </c>
      <c r="B86" s="14" t="s">
        <v>342</v>
      </c>
      <c r="C86" s="16" t="s">
        <v>50</v>
      </c>
      <c r="D86" s="36" t="str">
        <f t="shared" si="1"/>
        <v>INSERT INTO SkillAttribute(code, title) 
SELECT 'D153', 'Analisar representações que mostram as etapas de transmissão, passagem por equipamentos e reconstrução dos dados.' 
WHERE NOT EXISTS (SELECT 1 FROM SkillAttribute WHERE code = 'D153') 
AND SCHEMA() IN ('alura', 'aluraproduction');
SET @skill_attribute_D153_id = (SELECT id FROM SkillAttribute WHERE code = 'D153');
INSERT INTO Skill_SkillAttribute(skill_id, skill_attribute_id) 
SELECT @skill_EF06CO07_id, @skill_attribute_D153_id WHERE SCHEMA() IN ('alura', 'aluraproduction');</v>
      </c>
    </row>
    <row r="87" spans="1:4" ht="15" customHeight="1">
      <c r="A87" s="19" t="s">
        <v>343</v>
      </c>
      <c r="B87" s="14" t="s">
        <v>344</v>
      </c>
      <c r="C87" s="16" t="s">
        <v>50</v>
      </c>
      <c r="D87" s="36" t="str">
        <f t="shared" si="1"/>
        <v>INSERT INTO SkillAttribute(code, title) 
SELECT 'D154', 'Analisar fatores que afetam a eficiência do processo de transmissão de dados.' 
WHERE NOT EXISTS (SELECT 1 FROM SkillAttribute WHERE code = 'D154') 
AND SCHEMA() IN ('alura', 'aluraproduction');
SET @skill_attribute_D154_id = (SELECT id FROM SkillAttribute WHERE code = 'D154');
INSERT INTO Skill_SkillAttribute(skill_id, skill_attribute_id) 
SELECT @skill_EF06CO07_id, @skill_attribute_D154_id WHERE SCHEMA() IN ('alura', 'aluraproduction');</v>
      </c>
    </row>
    <row r="88" spans="1:4" ht="15" customHeight="1">
      <c r="A88" s="19" t="s">
        <v>345</v>
      </c>
      <c r="B88" s="13" t="s">
        <v>346</v>
      </c>
      <c r="C88" s="16" t="s">
        <v>50</v>
      </c>
      <c r="D88" s="36" t="str">
        <f t="shared" si="1"/>
        <v>INSERT INTO SkillAttribute(code, title) 
SELECT 'D155', 'Compreender que os pacotes de dados podem seguir caminhos diferentes até o destino.' 
WHERE NOT EXISTS (SELECT 1 FROM SkillAttribute WHERE code = 'D155') 
AND SCHEMA() IN ('alura', 'aluraproduction');
SET @skill_attribute_D155_id = (SELECT id FROM SkillAttribute WHERE code = 'D155');
INSERT INTO Skill_SkillAttribute(skill_id, skill_attribute_id) 
SELECT @skill_EF06CO07_id, @skill_attribute_D155_id WHERE SCHEMA() IN ('alura', 'aluraproduction');</v>
      </c>
    </row>
    <row r="89" spans="1:4" ht="15" customHeight="1">
      <c r="A89" s="19" t="s">
        <v>347</v>
      </c>
      <c r="B89" s="13" t="s">
        <v>348</v>
      </c>
      <c r="C89" s="16" t="s">
        <v>50</v>
      </c>
      <c r="D89" s="36" t="str">
        <f t="shared" si="1"/>
        <v>INSERT INTO SkillAttribute(code, title) 
SELECT 'D156', 'Reconhecer que a ordem original da informação pode ser alterada durante a transmissão.' 
WHERE NOT EXISTS (SELECT 1 FROM SkillAttribute WHERE code = 'D156') 
AND SCHEMA() IN ('alura', 'aluraproduction');
SET @skill_attribute_D156_id = (SELECT id FROM SkillAttribute WHERE code = 'D156');
INSERT INTO Skill_SkillAttribute(skill_id, skill_attribute_id) 
SELECT @skill_EF06CO07_id, @skill_attribute_D156_id WHERE SCHEMA() IN ('alura', 'aluraproduction');</v>
      </c>
    </row>
    <row r="90" spans="1:4" ht="15" customHeight="1">
      <c r="A90" s="19" t="s">
        <v>349</v>
      </c>
      <c r="B90" s="13" t="s">
        <v>350</v>
      </c>
      <c r="C90" s="16" t="s">
        <v>50</v>
      </c>
      <c r="D90" s="36" t="str">
        <f t="shared" si="1"/>
        <v>INSERT INTO SkillAttribute(code, title) 
SELECT 'D157', 'Identificar etapas envolvidas no processo de envio e recebimento de dados em uma rede.' 
WHERE NOT EXISTS (SELECT 1 FROM SkillAttribute WHERE code = 'D157') 
AND SCHEMA() IN ('alura', 'aluraproduction');
SET @skill_attribute_D157_id = (SELECT id FROM SkillAttribute WHERE code = 'D157');
INSERT INTO Skill_SkillAttribute(skill_id, skill_attribute_id) 
SELECT @skill_EF06CO07_id, @skill_attribute_D157_id WHERE SCHEMA() IN ('alura', 'aluraproduction');</v>
      </c>
    </row>
    <row r="91" spans="1:4" ht="15" customHeight="1">
      <c r="A91" s="19" t="s">
        <v>351</v>
      </c>
      <c r="B91" s="14" t="s">
        <v>352</v>
      </c>
      <c r="C91" s="16" t="s">
        <v>52</v>
      </c>
      <c r="D91" s="36" t="str">
        <f t="shared" si="1"/>
        <v>INSERT INTO SkillAttribute(code, title) 
SELECT 'D158', 'Reconhecer diferentes formas de armazenar arquivos em dispositivos e ambientes digitais.' 
WHERE NOT EXISTS (SELECT 1 FROM SkillAttribute WHERE code = 'D158') 
AND SCHEMA() IN ('alura', 'aluraproduction');
SET @skill_attribute_D158_id = (SELECT id FROM SkillAttribute WHERE code = 'D158');
INSERT INTO Skill_SkillAttribute(skill_id, skill_attribute_id) 
SELECT @skill_EF06CO08_id, @skill_attribute_D158_id WHERE SCHEMA() IN ('alura', 'aluraproduction');</v>
      </c>
    </row>
    <row r="92" spans="1:4" ht="15" customHeight="1">
      <c r="A92" s="19" t="s">
        <v>353</v>
      </c>
      <c r="B92" s="14" t="s">
        <v>354</v>
      </c>
      <c r="C92" s="16" t="s">
        <v>52</v>
      </c>
      <c r="D92" s="36" t="str">
        <f t="shared" si="1"/>
        <v>INSERT INTO SkillAttribute(code, title) 
SELECT 'D159', 'Identificar formatos comuns de arquivos digitais.' 
WHERE NOT EXISTS (SELECT 1 FROM SkillAttribute WHERE code = 'D159') 
AND SCHEMA() IN ('alura', 'aluraproduction');
SET @skill_attribute_D159_id = (SELECT id FROM SkillAttribute WHERE code = 'D159');
INSERT INTO Skill_SkillAttribute(skill_id, skill_attribute_id) 
SELECT @skill_EF06CO08_id, @skill_attribute_D159_id WHERE SCHEMA() IN ('alura', 'aluraproduction');</v>
      </c>
    </row>
    <row r="93" spans="1:4" ht="15" customHeight="1">
      <c r="A93" s="19" t="s">
        <v>355</v>
      </c>
      <c r="B93" s="14" t="s">
        <v>356</v>
      </c>
      <c r="C93" s="16" t="s">
        <v>52</v>
      </c>
      <c r="D93" s="36" t="str">
        <f t="shared" si="1"/>
        <v>INSERT INTO SkillAttribute(code, title) 
SELECT 'D160', 'Relacionar formatos de arquivos às suas finalidades.' 
WHERE NOT EXISTS (SELECT 1 FROM SkillAttribute WHERE code = 'D160') 
AND SCHEMA() IN ('alura', 'aluraproduction');
SET @skill_attribute_D160_id = (SELECT id FROM SkillAttribute WHERE code = 'D160');
INSERT INTO Skill_SkillAttribute(skill_id, skill_attribute_id) 
SELECT @skill_EF06CO08_id, @skill_attribute_D160_id WHERE SCHEMA() IN ('alura', 'aluraproduction');</v>
      </c>
    </row>
    <row r="94" spans="1:4" ht="15" customHeight="1">
      <c r="A94" s="19" t="s">
        <v>357</v>
      </c>
      <c r="B94" s="14" t="s">
        <v>358</v>
      </c>
      <c r="C94" s="16" t="s">
        <v>52</v>
      </c>
      <c r="D94" s="36" t="str">
        <f t="shared" si="1"/>
        <v>INSERT INTO SkillAttribute(code, title) 
SELECT 'D161', 'Compreender a diferença entre armazenamento local e em nuvem.' 
WHERE NOT EXISTS (SELECT 1 FROM SkillAttribute WHERE code = 'D161') 
AND SCHEMA() IN ('alura', 'aluraproduction');
SET @skill_attribute_D161_id = (SELECT id FROM SkillAttribute WHERE code = 'D161');
INSERT INTO Skill_SkillAttribute(skill_id, skill_attribute_id) 
SELECT @skill_EF06CO08_id, @skill_attribute_D161_id WHERE SCHEMA() IN ('alura', 'aluraproduction');</v>
      </c>
    </row>
    <row r="95" spans="1:4" ht="15" customHeight="1">
      <c r="A95" s="19" t="s">
        <v>359</v>
      </c>
      <c r="B95" s="14" t="s">
        <v>360</v>
      </c>
      <c r="C95" s="16" t="s">
        <v>52</v>
      </c>
      <c r="D95" s="36" t="str">
        <f t="shared" si="1"/>
        <v>INSERT INTO SkillAttribute(code, title) 
SELECT 'D162', 'Identificar ações básicas de manipulação de arquivos e pastas (copiar, mover, renomear, excluir).' 
WHERE NOT EXISTS (SELECT 1 FROM SkillAttribute WHERE code = 'D162') 
AND SCHEMA() IN ('alura', 'aluraproduction');
SET @skill_attribute_D162_id = (SELECT id FROM SkillAttribute WHERE code = 'D162');
INSERT INTO Skill_SkillAttribute(skill_id, skill_attribute_id) 
SELECT @skill_EF06CO08_id, @skill_attribute_D162_id WHERE SCHEMA() IN ('alura', 'aluraproduction');</v>
      </c>
    </row>
    <row r="96" spans="1:4" ht="15" customHeight="1">
      <c r="A96" s="19" t="s">
        <v>361</v>
      </c>
      <c r="B96" s="14" t="s">
        <v>362</v>
      </c>
      <c r="C96" s="16" t="s">
        <v>52</v>
      </c>
      <c r="D96" s="36" t="str">
        <f t="shared" si="1"/>
        <v>INSERT INTO SkillAttribute(code, title) 
SELECT 'D163', 'Analisar formas de organização de arquivos digitais.' 
WHERE NOT EXISTS (SELECT 1 FROM SkillAttribute WHERE code = 'D163') 
AND SCHEMA() IN ('alura', 'aluraproduction');
SET @skill_attribute_D163_id = (SELECT id FROM SkillAttribute WHERE code = 'D163');
INSERT INTO Skill_SkillAttribute(skill_id, skill_attribute_id) 
SELECT @skill_EF06CO08_id, @skill_attribute_D163_id WHERE SCHEMA() IN ('alura', 'aluraproduction');</v>
      </c>
    </row>
    <row r="97" spans="1:4" ht="15" customHeight="1">
      <c r="A97" s="19" t="s">
        <v>363</v>
      </c>
      <c r="B97" s="14" t="s">
        <v>364</v>
      </c>
      <c r="C97" s="16" t="s">
        <v>52</v>
      </c>
      <c r="D97" s="36" t="str">
        <f t="shared" si="1"/>
        <v>INSERT INTO SkillAttribute(code, title) 
SELECT 'D164', 'Compreender a importância da nomeação adequada de arquivos.' 
WHERE NOT EXISTS (SELECT 1 FROM SkillAttribute WHERE code = 'D164') 
AND SCHEMA() IN ('alura', 'aluraproduction');
SET @skill_attribute_D164_id = (SELECT id FROM SkillAttribute WHERE code = 'D164');
INSERT INTO Skill_SkillAttribute(skill_id, skill_attribute_id) 
SELECT @skill_EF06CO08_id, @skill_attribute_D164_id WHERE SCHEMA() IN ('alura', 'aluraproduction');</v>
      </c>
    </row>
    <row r="98" spans="1:4" ht="15" customHeight="1">
      <c r="A98" s="19" t="s">
        <v>365</v>
      </c>
      <c r="B98" s="14" t="s">
        <v>366</v>
      </c>
      <c r="C98" s="16" t="s">
        <v>52</v>
      </c>
      <c r="D98" s="36" t="str">
        <f t="shared" si="1"/>
        <v>INSERT INTO SkillAttribute(code, title) 
SELECT 'D165', 'Reconhecer a função da compactação de arquivos digitais.' 
WHERE NOT EXISTS (SELECT 1 FROM SkillAttribute WHERE code = 'D165') 
AND SCHEMA() IN ('alura', 'aluraproduction');
SET @skill_attribute_D165_id = (SELECT id FROM SkillAttribute WHERE code = 'D165');
INSERT INTO Skill_SkillAttribute(skill_id, skill_attribute_id) 
SELECT @skill_EF06CO08_id, @skill_attribute_D165_id WHERE SCHEMA() IN ('alura', 'aluraproduction');</v>
      </c>
    </row>
    <row r="99" spans="1:4" ht="15" customHeight="1">
      <c r="A99" s="19" t="s">
        <v>367</v>
      </c>
      <c r="B99" s="14" t="s">
        <v>368</v>
      </c>
      <c r="C99" s="16" t="s">
        <v>52</v>
      </c>
      <c r="D99" s="36" t="str">
        <f t="shared" si="1"/>
        <v>INSERT INTO SkillAttribute(code, title) 
SELECT 'D166', 'Compreender a diferença entre arquivos compactados e descompactados.' 
WHERE NOT EXISTS (SELECT 1 FROM SkillAttribute WHERE code = 'D166') 
AND SCHEMA() IN ('alura', 'aluraproduction');
SET @skill_attribute_D166_id = (SELECT id FROM SkillAttribute WHERE code = 'D166');
INSERT INTO Skill_SkillAttribute(skill_id, skill_attribute_id) 
SELECT @skill_EF06CO08_id, @skill_attribute_D166_id WHERE SCHEMA() IN ('alura', 'aluraproduction');</v>
      </c>
    </row>
    <row r="100" spans="1:4" ht="15" customHeight="1">
      <c r="A100" s="19" t="s">
        <v>369</v>
      </c>
      <c r="B100" s="14" t="s">
        <v>370</v>
      </c>
      <c r="C100" s="16" t="s">
        <v>52</v>
      </c>
      <c r="D100" s="36" t="str">
        <f t="shared" si="1"/>
        <v>INSERT INTO SkillAttribute(code, title) 
SELECT 'D167', 'Identificar formas de recuperar arquivos em sistemas de armazenamento digital.' 
WHERE NOT EXISTS (SELECT 1 FROM SkillAttribute WHERE code = 'D167') 
AND SCHEMA() IN ('alura', 'aluraproduction');
SET @skill_attribute_D167_id = (SELECT id FROM SkillAttribute WHERE code = 'D167');
INSERT INTO Skill_SkillAttribute(skill_id, skill_attribute_id) 
SELECT @skill_EF06CO08_id, @skill_attribute_D167_id WHERE SCHEMA() IN ('alura', 'aluraproduction');</v>
      </c>
    </row>
    <row r="101" spans="1:4" ht="15" customHeight="1">
      <c r="A101" s="19" t="s">
        <v>371</v>
      </c>
      <c r="B101" s="14" t="s">
        <v>372</v>
      </c>
      <c r="C101" s="16" t="s">
        <v>52</v>
      </c>
      <c r="D101" s="36" t="str">
        <f t="shared" si="1"/>
        <v>INSERT INTO SkillAttribute(code, title) 
SELECT 'D168', 'Reconhecer o papel dos metadados na identificação de arquivos.' 
WHERE NOT EXISTS (SELECT 1 FROM SkillAttribute WHERE code = 'D168') 
AND SCHEMA() IN ('alura', 'aluraproduction');
SET @skill_attribute_D168_id = (SELECT id FROM SkillAttribute WHERE code = 'D168');
INSERT INTO Skill_SkillAttribute(skill_id, skill_attribute_id) 
SELECT @skill_EF06CO08_id, @skill_attribute_D168_id WHERE SCHEMA() IN ('alura', 'aluraproduction');</v>
      </c>
    </row>
    <row r="102" spans="1:4" ht="15" customHeight="1">
      <c r="A102" s="19" t="s">
        <v>373</v>
      </c>
      <c r="B102" s="14" t="s">
        <v>374</v>
      </c>
      <c r="C102" s="16" t="s">
        <v>52</v>
      </c>
      <c r="D102" s="36" t="str">
        <f t="shared" si="1"/>
        <v>INSERT INTO SkillAttribute(code, title) 
SELECT 'D169', 'Compreender como os metadados contribuem para a organização de documentos digitais.' 
WHERE NOT EXISTS (SELECT 1 FROM SkillAttribute WHERE code = 'D169') 
AND SCHEMA() IN ('alura', 'aluraproduction');
SET @skill_attribute_D169_id = (SELECT id FROM SkillAttribute WHERE code = 'D169');
INSERT INTO Skill_SkillAttribute(skill_id, skill_attribute_id) 
SELECT @skill_EF06CO08_id, @skill_attribute_D169_id WHERE SCHEMA() IN ('alura', 'aluraproduction');</v>
      </c>
    </row>
    <row r="103" spans="1:4" ht="15" customHeight="1">
      <c r="A103" s="19" t="s">
        <v>375</v>
      </c>
      <c r="B103" s="14" t="s">
        <v>376</v>
      </c>
      <c r="C103" s="16" t="s">
        <v>52</v>
      </c>
      <c r="D103" s="36" t="str">
        <f t="shared" si="1"/>
        <v>INSERT INTO SkillAttribute(code, title) 
SELECT 'D170', 'Relacionar práticas de organização digital à facilidade de recuperação de arquivos.' 
WHERE NOT EXISTS (SELECT 1 FROM SkillAttribute WHERE code = 'D170') 
AND SCHEMA() IN ('alura', 'aluraproduction');
SET @skill_attribute_D170_id = (SELECT id FROM SkillAttribute WHERE code = 'D170');
INSERT INTO Skill_SkillAttribute(skill_id, skill_attribute_id) 
SELECT @skill_EF06CO08_id, @skill_attribute_D170_id WHERE SCHEMA() IN ('alura', 'aluraproduction');</v>
      </c>
    </row>
    <row r="104" spans="1:4" ht="15" customHeight="1">
      <c r="A104" s="19" t="s">
        <v>377</v>
      </c>
      <c r="B104" s="14" t="s">
        <v>378</v>
      </c>
      <c r="C104" s="16" t="s">
        <v>52</v>
      </c>
      <c r="D104" s="36" t="str">
        <f t="shared" si="1"/>
        <v>INSERT INTO SkillAttribute(code, title) 
SELECT 'D171', 'Analisar estratégias de armazenamento digital com base em critérios de praticidade ou segurança.' 
WHERE NOT EXISTS (SELECT 1 FROM SkillAttribute WHERE code = 'D171') 
AND SCHEMA() IN ('alura', 'aluraproduction');
SET @skill_attribute_D171_id = (SELECT id FROM SkillAttribute WHERE code = 'D171');
INSERT INTO Skill_SkillAttribute(skill_id, skill_attribute_id) 
SELECT @skill_EF06CO08_id, @skill_attribute_D171_id WHERE SCHEMA() IN ('alura', 'aluraproduction');</v>
      </c>
    </row>
    <row r="105" spans="1:4" ht="15" customHeight="1">
      <c r="A105" s="19" t="s">
        <v>379</v>
      </c>
      <c r="B105" s="14" t="s">
        <v>380</v>
      </c>
      <c r="C105" s="16" t="s">
        <v>54</v>
      </c>
      <c r="D105" s="36" t="str">
        <f t="shared" si="1"/>
        <v>INSERT INTO SkillAttribute(code, title) 
SELECT 'D207', 'Identificar formas de comunicação em ambientes digitais (texto, emojis, vídeo, áudio etc.).' 
WHERE NOT EXISTS (SELECT 1 FROM SkillAttribute WHERE code = 'D207') 
AND SCHEMA() IN ('alura', 'aluraproduction');
SET @skill_attribute_D207_id = (SELECT id FROM SkillAttribute WHERE code = 'D207');
INSERT INTO Skill_SkillAttribute(skill_id, skill_attribute_id) 
SELECT @skill_EF06CO09_id, @skill_attribute_D207_id WHERE SCHEMA() IN ('alura', 'aluraproduction');</v>
      </c>
    </row>
    <row r="106" spans="1:4" ht="15" customHeight="1">
      <c r="A106" s="19" t="s">
        <v>381</v>
      </c>
      <c r="B106" s="14" t="s">
        <v>382</v>
      </c>
      <c r="C106" s="16" t="s">
        <v>54</v>
      </c>
      <c r="D106" s="36" t="str">
        <f t="shared" si="1"/>
        <v>INSERT INTO SkillAttribute(code, title) 
SELECT 'D208', 'Identificar ambientes digitais de comunicação (aplicativos de mensagens, fóruns, redes sociais etc.).' 
WHERE NOT EXISTS (SELECT 1 FROM SkillAttribute WHERE code = 'D208') 
AND SCHEMA() IN ('alura', 'aluraproduction');
SET @skill_attribute_D208_id = (SELECT id FROM SkillAttribute WHERE code = 'D208');
INSERT INTO Skill_SkillAttribute(skill_id, skill_attribute_id) 
SELECT @skill_EF06CO09_id, @skill_attribute_D208_id WHERE SCHEMA() IN ('alura', 'aluraproduction');</v>
      </c>
    </row>
    <row r="107" spans="1:4" ht="15" customHeight="1">
      <c r="A107" s="19" t="s">
        <v>383</v>
      </c>
      <c r="B107" s="14" t="s">
        <v>384</v>
      </c>
      <c r="C107" s="16" t="s">
        <v>54</v>
      </c>
      <c r="D107" s="36" t="str">
        <f t="shared" si="1"/>
        <v>INSERT INTO SkillAttribute(code, title) 
SELECT 'D209', 'Reconhecer princípios éticos característicos de/utilizados em ambientes digitais.' 
WHERE NOT EXISTS (SELECT 1 FROM SkillAttribute WHERE code = 'D209') 
AND SCHEMA() IN ('alura', 'aluraproduction');
SET @skill_attribute_D209_id = (SELECT id FROM SkillAttribute WHERE code = 'D209');
INSERT INTO Skill_SkillAttribute(skill_id, skill_attribute_id) 
SELECT @skill_EF06CO09_id, @skill_attribute_D209_id WHERE SCHEMA() IN ('alura', 'aluraproduction');</v>
      </c>
    </row>
    <row r="108" spans="1:4" ht="15" customHeight="1">
      <c r="A108" s="19" t="s">
        <v>385</v>
      </c>
      <c r="B108" s="14" t="s">
        <v>386</v>
      </c>
      <c r="C108" s="16" t="s">
        <v>54</v>
      </c>
      <c r="D108" s="36" t="str">
        <f t="shared" si="1"/>
        <v>INSERT INTO SkillAttribute(code, title) 
SELECT 'D210', 'Compreender a importância da linguagem apropriada em diferentes ambientes digitais.' 
WHERE NOT EXISTS (SELECT 1 FROM SkillAttribute WHERE code = 'D210') 
AND SCHEMA() IN ('alura', 'aluraproduction');
SET @skill_attribute_D210_id = (SELECT id FROM SkillAttribute WHERE code = 'D210');
INSERT INTO Skill_SkillAttribute(skill_id, skill_attribute_id) 
SELECT @skill_EF06CO09_id, @skill_attribute_D210_id WHERE SCHEMA() IN ('alura', 'aluraproduction');</v>
      </c>
    </row>
    <row r="109" spans="1:4" ht="15" customHeight="1">
      <c r="A109" s="19" t="s">
        <v>387</v>
      </c>
      <c r="B109" s="13" t="s">
        <v>388</v>
      </c>
      <c r="C109" s="16" t="s">
        <v>54</v>
      </c>
      <c r="D109" s="36" t="str">
        <f t="shared" si="1"/>
        <v>INSERT INTO SkillAttribute(code, title) 
SELECT 'D211', 'Reconhecer comportamentos respeitosos e inadequados em interações digitais.' 
WHERE NOT EXISTS (SELECT 1 FROM SkillAttribute WHERE code = 'D211') 
AND SCHEMA() IN ('alura', 'aluraproduction');
SET @skill_attribute_D211_id = (SELECT id FROM SkillAttribute WHERE code = 'D211');
INSERT INTO Skill_SkillAttribute(skill_id, skill_attribute_id) 
SELECT @skill_EF06CO09_id, @skill_attribute_D211_id WHERE SCHEMA() IN ('alura', 'aluraproduction');</v>
      </c>
    </row>
    <row r="110" spans="1:4" ht="15" customHeight="1">
      <c r="A110" s="19" t="s">
        <v>389</v>
      </c>
      <c r="B110" s="13" t="s">
        <v>390</v>
      </c>
      <c r="C110" s="16" t="s">
        <v>54</v>
      </c>
      <c r="D110" s="36" t="str">
        <f t="shared" si="1"/>
        <v>INSERT INTO SkillAttribute(code, title) 
SELECT 'D212', 'Analisar situações de comunicação digital com base em princípios de respeito e ética.' 
WHERE NOT EXISTS (SELECT 1 FROM SkillAttribute WHERE code = 'D212') 
AND SCHEMA() IN ('alura', 'aluraproduction');
SET @skill_attribute_D212_id = (SELECT id FROM SkillAttribute WHERE code = 'D212');
INSERT INTO Skill_SkillAttribute(skill_id, skill_attribute_id) 
SELECT @skill_EF06CO09_id, @skill_attribute_D212_id WHERE SCHEMA() IN ('alura', 'aluraproduction');</v>
      </c>
    </row>
    <row r="111" spans="1:4" ht="15" customHeight="1">
      <c r="A111" s="19" t="s">
        <v>391</v>
      </c>
      <c r="B111" s="13" t="s">
        <v>392</v>
      </c>
      <c r="C111" s="16" t="s">
        <v>54</v>
      </c>
      <c r="D111" s="36" t="str">
        <f t="shared" si="1"/>
        <v>INSERT INTO SkillAttribute(code, title) 
SELECT 'D213', 'Relacionar o tipo de linguagem utilizada ao público ou contexto de comunicação digital.' 
WHERE NOT EXISTS (SELECT 1 FROM SkillAttribute WHERE code = 'D213') 
AND SCHEMA() IN ('alura', 'aluraproduction');
SET @skill_attribute_D213_id = (SELECT id FROM SkillAttribute WHERE code = 'D213');
INSERT INTO Skill_SkillAttribute(skill_id, skill_attribute_id) 
SELECT @skill_EF06CO09_id, @skill_attribute_D213_id WHERE SCHEMA() IN ('alura', 'aluraproduction');</v>
      </c>
    </row>
    <row r="112" spans="1:4" ht="15" customHeight="1">
      <c r="A112" s="19" t="s">
        <v>393</v>
      </c>
      <c r="B112" s="13" t="s">
        <v>394</v>
      </c>
      <c r="C112" s="16" t="s">
        <v>56</v>
      </c>
      <c r="D112" s="36" t="str">
        <f t="shared" si="1"/>
        <v>INSERT INTO SkillAttribute(code, title) 
SELECT 'D214', 'Analisar o consumo de tecnologia na sociedade contemporânea.' 
WHERE NOT EXISTS (SELECT 1 FROM SkillAttribute WHERE code = 'D214') 
AND SCHEMA() IN ('alura', 'aluraproduction');
SET @skill_attribute_D214_id = (SELECT id FROM SkillAttribute WHERE code = 'D214');
INSERT INTO Skill_SkillAttribute(skill_id, skill_attribute_id) 
SELECT @skill_EF06CO10_id, @skill_attribute_D214_id WHERE SCHEMA() IN ('alura', 'aluraproduction');</v>
      </c>
    </row>
    <row r="113" spans="1:4" ht="15" customHeight="1">
      <c r="A113" s="19" t="s">
        <v>395</v>
      </c>
      <c r="B113" s="13" t="s">
        <v>396</v>
      </c>
      <c r="C113" s="16" t="s">
        <v>56</v>
      </c>
      <c r="D113" s="36" t="str">
        <f t="shared" si="1"/>
        <v>INSERT INTO SkillAttribute(code, title) 
SELECT 'D215', 'Analisar o impacto socioambiental do consumo tecnológico na contemporaneidade.' 
WHERE NOT EXISTS (SELECT 1 FROM SkillAttribute WHERE code = 'D215') 
AND SCHEMA() IN ('alura', 'aluraproduction');
SET @skill_attribute_D215_id = (SELECT id FROM SkillAttribute WHERE code = 'D215');
INSERT INTO Skill_SkillAttribute(skill_id, skill_attribute_id) 
SELECT @skill_EF06CO10_id, @skill_attribute_D215_id WHERE SCHEMA() IN ('alura', 'aluraproduction');</v>
      </c>
    </row>
    <row r="114" spans="1:4" ht="15" customHeight="1">
      <c r="A114" s="19" t="s">
        <v>397</v>
      </c>
      <c r="B114" s="13" t="s">
        <v>398</v>
      </c>
      <c r="C114" s="16" t="s">
        <v>56</v>
      </c>
      <c r="D114" s="36" t="str">
        <f t="shared" si="1"/>
        <v>INSERT INTO SkillAttribute(code, title) 
SELECT 'D216', 'Relacionar o consumo tecnológico da sociedade contemporânea à ideia de obsolescência.' 
WHERE NOT EXISTS (SELECT 1 FROM SkillAttribute WHERE code = 'D216') 
AND SCHEMA() IN ('alura', 'aluraproduction');
SET @skill_attribute_D216_id = (SELECT id FROM SkillAttribute WHERE code = 'D216');
INSERT INTO Skill_SkillAttribute(skill_id, skill_attribute_id) 
SELECT @skill_EF06CO10_id, @skill_attribute_D216_id WHERE SCHEMA() IN ('alura', 'aluraproduction');</v>
      </c>
    </row>
    <row r="115" spans="1:4" ht="15" customHeight="1">
      <c r="A115" s="19" t="s">
        <v>399</v>
      </c>
      <c r="B115" s="13" t="s">
        <v>400</v>
      </c>
      <c r="C115" s="16" t="s">
        <v>56</v>
      </c>
      <c r="D115" s="36" t="str">
        <f t="shared" si="1"/>
        <v>INSERT INTO SkillAttribute(code, title) 
SELECT 'D217', 'Reconhecer formas sustentáveis de uso da tecnologia.' 
WHERE NOT EXISTS (SELECT 1 FROM SkillAttribute WHERE code = 'D217') 
AND SCHEMA() IN ('alura', 'aluraproduction');
SET @skill_attribute_D217_id = (SELECT id FROM SkillAttribute WHERE code = 'D217');
INSERT INTO Skill_SkillAttribute(skill_id, skill_attribute_id) 
SELECT @skill_EF06CO10_id, @skill_attribute_D217_id WHERE SCHEMA() IN ('alura', 'aluraproduction');</v>
      </c>
    </row>
    <row r="116" spans="1:4" ht="15" customHeight="1">
      <c r="A116" s="19" t="s">
        <v>401</v>
      </c>
      <c r="B116" s="13" t="s">
        <v>402</v>
      </c>
      <c r="C116" s="16" t="s">
        <v>56</v>
      </c>
      <c r="D116" s="36" t="str">
        <f t="shared" si="1"/>
        <v>INSERT INTO SkillAttribute(code, title) 
SELECT 'D218', 'Identificar as etapas do ciclo de vida de um produto tecnológico.' 
WHERE NOT EXISTS (SELECT 1 FROM SkillAttribute WHERE code = 'D218') 
AND SCHEMA() IN ('alura', 'aluraproduction');
SET @skill_attribute_D218_id = (SELECT id FROM SkillAttribute WHERE code = 'D218');
INSERT INTO Skill_SkillAttribute(skill_id, skill_attribute_id) 
SELECT @skill_EF06CO10_id, @skill_attribute_D218_id WHERE SCHEMA() IN ('alura', 'aluraproduction');</v>
      </c>
    </row>
    <row r="117" spans="1:4" ht="15" customHeight="1">
      <c r="A117" s="19" t="s">
        <v>403</v>
      </c>
      <c r="B117" s="13" t="s">
        <v>404</v>
      </c>
      <c r="C117" s="16" t="s">
        <v>56</v>
      </c>
      <c r="D117" s="36" t="str">
        <f t="shared" si="1"/>
        <v>INSERT INTO SkillAttribute(code, title) 
SELECT 'D219', 'Compreender a relação entre a produção de dispositivos tecnológicos e o uso de recursos naturais.' 
WHERE NOT EXISTS (SELECT 1 FROM SkillAttribute WHERE code = 'D219') 
AND SCHEMA() IN ('alura', 'aluraproduction');
SET @skill_attribute_D219_id = (SELECT id FROM SkillAttribute WHERE code = 'D219');
INSERT INTO Skill_SkillAttribute(skill_id, skill_attribute_id) 
SELECT @skill_EF06CO10_id, @skill_attribute_D219_id WHERE SCHEMA() IN ('alura', 'aluraproduction');</v>
      </c>
    </row>
    <row r="118" spans="1:4" ht="15" customHeight="1">
      <c r="A118" s="19" t="s">
        <v>405</v>
      </c>
      <c r="B118" s="13" t="s">
        <v>406</v>
      </c>
      <c r="C118" s="16" t="s">
        <v>56</v>
      </c>
      <c r="D118" s="36" t="str">
        <f t="shared" si="1"/>
        <v>INSERT INTO SkillAttribute(code, title) 
SELECT 'D220', 'Identificar consequências ambientais geradas pela produção tecnológica.' 
WHERE NOT EXISTS (SELECT 1 FROM SkillAttribute WHERE code = 'D220') 
AND SCHEMA() IN ('alura', 'aluraproduction');
SET @skill_attribute_D220_id = (SELECT id FROM SkillAttribute WHERE code = 'D220');
INSERT INTO Skill_SkillAttribute(skill_id, skill_attribute_id) 
SELECT @skill_EF06CO10_id, @skill_attribute_D220_id WHERE SCHEMA() IN ('alura', 'aluraproduction');</v>
      </c>
    </row>
    <row r="119" spans="1:4" ht="15" customHeight="1">
      <c r="A119" s="19" t="s">
        <v>407</v>
      </c>
      <c r="B119" s="13" t="s">
        <v>408</v>
      </c>
      <c r="C119" s="16" t="s">
        <v>56</v>
      </c>
      <c r="D119" s="36" t="str">
        <f t="shared" si="1"/>
        <v>INSERT INTO SkillAttribute(code, title) 
SELECT 'D221', 'Analisar estratégias de produção tecnológica com foco em sustentabilidade.' 
WHERE NOT EXISTS (SELECT 1 FROM SkillAttribute WHERE code = 'D221') 
AND SCHEMA() IN ('alura', 'aluraproduction');
SET @skill_attribute_D221_id = (SELECT id FROM SkillAttribute WHERE code = 'D221');
INSERT INTO Skill_SkillAttribute(skill_id, skill_attribute_id) 
SELECT @skill_EF06CO10_id, @skill_attribute_D221_id WHERE SCHEMA() IN ('alura', 'aluraproduction');</v>
      </c>
    </row>
    <row r="120" spans="1:4" ht="15" customHeight="1">
      <c r="A120" s="19" t="s">
        <v>409</v>
      </c>
      <c r="B120" s="13" t="s">
        <v>410</v>
      </c>
      <c r="C120" s="16" t="s">
        <v>56</v>
      </c>
      <c r="D120" s="36" t="str">
        <f t="shared" si="1"/>
        <v>INSERT INTO SkillAttribute(code, title) 
SELECT 'D222', 'Reconhecer a importância do descarte adequado de dispositivos tecnológicos.' 
WHERE NOT EXISTS (SELECT 1 FROM SkillAttribute WHERE code = 'D222') 
AND SCHEMA() IN ('alura', 'aluraproduction');
SET @skill_attribute_D222_id = (SELECT id FROM SkillAttribute WHERE code = 'D222');
INSERT INTO Skill_SkillAttribute(skill_id, skill_attribute_id) 
SELECT @skill_EF06CO10_id, @skill_attribute_D222_id WHERE SCHEMA() IN ('alura', 'aluraproduction');</v>
      </c>
    </row>
    <row r="121" spans="1:4" ht="15" customHeight="1">
      <c r="A121" s="19" t="s">
        <v>411</v>
      </c>
      <c r="B121" s="13" t="s">
        <v>412</v>
      </c>
      <c r="C121" s="16" t="s">
        <v>56</v>
      </c>
      <c r="D121" s="36" t="str">
        <f t="shared" si="1"/>
        <v>INSERT INTO SkillAttribute(code, title) 
SELECT 'D223', 'Compreender os efeitos da obsolescência programada no consumo tecnológico.' 
WHERE NOT EXISTS (SELECT 1 FROM SkillAttribute WHERE code = 'D223') 
AND SCHEMA() IN ('alura', 'aluraproduction');
SET @skill_attribute_D223_id = (SELECT id FROM SkillAttribute WHERE code = 'D223');
INSERT INTO Skill_SkillAttribute(skill_id, skill_attribute_id) 
SELECT @skill_EF06CO10_id, @skill_attribute_D223_id WHERE SCHEMA() IN ('alura', 'aluraproduction');</v>
      </c>
    </row>
    <row r="122" spans="1:4" ht="15" customHeight="1">
      <c r="A122" s="19" t="s">
        <v>413</v>
      </c>
      <c r="B122" s="13" t="s">
        <v>414</v>
      </c>
      <c r="C122" s="16" t="s">
        <v>56</v>
      </c>
      <c r="D122" s="36" t="str">
        <f t="shared" si="1"/>
        <v>INSERT INTO SkillAttribute(code, title) 
SELECT 'D224', 'Analisar ações individuais e coletivas que promovem o uso consciente da tecnologia. ' 
WHERE NOT EXISTS (SELECT 1 FROM SkillAttribute WHERE code = 'D224') 
AND SCHEMA() IN ('alura', 'aluraproduction');
SET @skill_attribute_D224_id = (SELECT id FROM SkillAttribute WHERE code = 'D224');
INSERT INTO Skill_SkillAttribute(skill_id, skill_attribute_id) 
SELECT @skill_EF06CO10_id, @skill_attribute_D224_id WHERE SCHEMA() IN ('alura', 'aluraproduction');</v>
      </c>
    </row>
    <row r="123" spans="1:4" ht="15" customHeight="1">
      <c r="A123" s="19" t="s">
        <v>415</v>
      </c>
      <c r="B123" s="15" t="s">
        <v>416</v>
      </c>
      <c r="C123" s="16" t="s">
        <v>58</v>
      </c>
      <c r="D123" s="36" t="str">
        <f t="shared" si="1"/>
        <v>INSERT INTO SkillAttribute(code, title) 
SELECT 'D62', 'Compreender o conceito de registros.' 
WHERE NOT EXISTS (SELECT 1 FROM SkillAttribute WHERE code = 'D62') 
AND SCHEMA() IN ('alura', 'aluraproduction');
SET @skill_attribute_D62_id = (SELECT id FROM SkillAttribute WHERE code = 'D62');
INSERT INTO Skill_SkillAttribute(skill_id, skill_attribute_id) 
SELECT @skill_EF07CO01_id, @skill_attribute_D62_id WHERE SCHEMA() IN ('alura', 'aluraproduction');</v>
      </c>
    </row>
    <row r="124" spans="1:4" ht="15" customHeight="1">
      <c r="A124" s="19" t="s">
        <v>417</v>
      </c>
      <c r="B124" s="15" t="s">
        <v>418</v>
      </c>
      <c r="C124" s="16" t="s">
        <v>58</v>
      </c>
      <c r="D124" s="36" t="str">
        <f t="shared" si="1"/>
        <v>INSERT INTO SkillAttribute(code, title) 
SELECT 'D63', 'Identificar problemas que podem ser resolvidos com o uso de registros.' 
WHERE NOT EXISTS (SELECT 1 FROM SkillAttribute WHERE code = 'D63') 
AND SCHEMA() IN ('alura', 'aluraproduction');
SET @skill_attribute_D63_id = (SELECT id FROM SkillAttribute WHERE code = 'D63');
INSERT INTO Skill_SkillAttribute(skill_id, skill_attribute_id) 
SELECT @skill_EF07CO01_id, @skill_attribute_D63_id WHERE SCHEMA() IN ('alura', 'aluraproduction');</v>
      </c>
    </row>
    <row r="125" spans="1:4" ht="15" customHeight="1">
      <c r="A125" s="19" t="s">
        <v>419</v>
      </c>
      <c r="B125" s="15" t="s">
        <v>420</v>
      </c>
      <c r="C125" s="16" t="s">
        <v>58</v>
      </c>
      <c r="D125" s="36" t="str">
        <f t="shared" si="1"/>
        <v>INSERT INTO SkillAttribute(code, title) 
SELECT 'D64', 'Compreender como registros organizam dados na solução de um problema.' 
WHERE NOT EXISTS (SELECT 1 FROM SkillAttribute WHERE code = 'D64') 
AND SCHEMA() IN ('alura', 'aluraproduction');
SET @skill_attribute_D64_id = (SELECT id FROM SkillAttribute WHERE code = 'D64');
INSERT INTO Skill_SkillAttribute(skill_id, skill_attribute_id) 
SELECT @skill_EF07CO01_id, @skill_attribute_D64_id WHERE SCHEMA() IN ('alura', 'aluraproduction');</v>
      </c>
    </row>
    <row r="126" spans="1:4" ht="15" customHeight="1">
      <c r="A126" s="19" t="s">
        <v>421</v>
      </c>
      <c r="B126" s="15" t="s">
        <v>422</v>
      </c>
      <c r="C126" s="16" t="s">
        <v>58</v>
      </c>
      <c r="D126" s="36" t="str">
        <f t="shared" si="1"/>
        <v>INSERT INTO SkillAttribute(code, title) 
SELECT 'D65', 'Analisar soluções aplicadas para a resolução de problemas com o uso de registros.' 
WHERE NOT EXISTS (SELECT 1 FROM SkillAttribute WHERE code = 'D65') 
AND SCHEMA() IN ('alura', 'aluraproduction');
SET @skill_attribute_D65_id = (SELECT id FROM SkillAttribute WHERE code = 'D65');
INSERT INTO Skill_SkillAttribute(skill_id, skill_attribute_id) 
SELECT @skill_EF07CO01_id, @skill_attribute_D65_id WHERE SCHEMA() IN ('alura', 'aluraproduction');</v>
      </c>
    </row>
    <row r="127" spans="1:4" ht="15" customHeight="1">
      <c r="A127" s="19" t="s">
        <v>423</v>
      </c>
      <c r="B127" s="15" t="s">
        <v>424</v>
      </c>
      <c r="C127" s="16" t="s">
        <v>58</v>
      </c>
      <c r="D127" s="36" t="str">
        <f t="shared" si="1"/>
        <v>INSERT INTO SkillAttribute(code, title) 
SELECT 'D66', 'Compreender o conceito de matrizes unidimensionais.' 
WHERE NOT EXISTS (SELECT 1 FROM SkillAttribute WHERE code = 'D66') 
AND SCHEMA() IN ('alura', 'aluraproduction');
SET @skill_attribute_D66_id = (SELECT id FROM SkillAttribute WHERE code = 'D66');
INSERT INTO Skill_SkillAttribute(skill_id, skill_attribute_id) 
SELECT @skill_EF07CO01_id, @skill_attribute_D66_id WHERE SCHEMA() IN ('alura', 'aluraproduction');</v>
      </c>
    </row>
    <row r="128" spans="1:4" ht="15" customHeight="1">
      <c r="A128" s="19" t="s">
        <v>425</v>
      </c>
      <c r="B128" s="15" t="s">
        <v>426</v>
      </c>
      <c r="C128" s="16" t="s">
        <v>58</v>
      </c>
      <c r="D128" s="36" t="str">
        <f t="shared" si="1"/>
        <v>INSERT INTO SkillAttribute(code, title) 
SELECT 'D67', 'Identificar problemas que podem ser resolvidos com o uso de matrizes unidimensionais.' 
WHERE NOT EXISTS (SELECT 1 FROM SkillAttribute WHERE code = 'D67') 
AND SCHEMA() IN ('alura', 'aluraproduction');
SET @skill_attribute_D67_id = (SELECT id FROM SkillAttribute WHERE code = 'D67');
INSERT INTO Skill_SkillAttribute(skill_id, skill_attribute_id) 
SELECT @skill_EF07CO01_id, @skill_attribute_D67_id WHERE SCHEMA() IN ('alura', 'aluraproduction');</v>
      </c>
    </row>
    <row r="129" spans="1:4" ht="15" customHeight="1">
      <c r="A129" s="19" t="s">
        <v>427</v>
      </c>
      <c r="B129" s="14" t="s">
        <v>428</v>
      </c>
      <c r="C129" s="16" t="s">
        <v>58</v>
      </c>
      <c r="D129" s="36" t="str">
        <f t="shared" si="1"/>
        <v>INSERT INTO SkillAttribute(code, title) 
SELECT 'D68', 'Compreender como matrizes unidimensionais armazenam e organizam dados em soluções de problemas.' 
WHERE NOT EXISTS (SELECT 1 FROM SkillAttribute WHERE code = 'D68') 
AND SCHEMA() IN ('alura', 'aluraproduction');
SET @skill_attribute_D68_id = (SELECT id FROM SkillAttribute WHERE code = 'D68');
INSERT INTO Skill_SkillAttribute(skill_id, skill_attribute_id) 
SELECT @skill_EF07CO01_id, @skill_attribute_D68_id WHERE SCHEMA() IN ('alura', 'aluraproduction');</v>
      </c>
    </row>
    <row r="130" spans="1:4" ht="15" customHeight="1">
      <c r="A130" s="19" t="s">
        <v>429</v>
      </c>
      <c r="B130" s="14" t="s">
        <v>430</v>
      </c>
      <c r="C130" s="16" t="s">
        <v>58</v>
      </c>
      <c r="D130" s="36" t="str">
        <f t="shared" si="1"/>
        <v>INSERT INTO SkillAttribute(code, title) 
SELECT 'D69', 'Analisar soluções aplicadas para a resolução de problemas com o uso de matrizes unidimensionais.' 
WHERE NOT EXISTS (SELECT 1 FROM SkillAttribute WHERE code = 'D69') 
AND SCHEMA() IN ('alura', 'aluraproduction');
SET @skill_attribute_D69_id = (SELECT id FROM SkillAttribute WHERE code = 'D69');
INSERT INTO Skill_SkillAttribute(skill_id, skill_attribute_id) 
SELECT @skill_EF07CO01_id, @skill_attribute_D69_id WHERE SCHEMA() IN ('alura', 'aluraproduction');</v>
      </c>
    </row>
    <row r="131" spans="1:4" ht="15" customHeight="1">
      <c r="A131" s="19" t="s">
        <v>431</v>
      </c>
      <c r="B131" s="14" t="s">
        <v>432</v>
      </c>
      <c r="C131" s="16" t="s">
        <v>58</v>
      </c>
      <c r="D131" s="36" t="str">
        <f t="shared" ref="D131:D194" si="2">"INSERT INTO SkillAttribute(code, title) " &amp; CHAR(10) &amp;
"SELECT '" &amp; A131 &amp; "', '" &amp; SUBSTITUTE(B131, "'", "''") &amp; "' " &amp; CHAR(10) &amp;
"WHERE NOT EXISTS (SELECT 1 FROM SkillAttribute WHERE code = '" &amp; A131 &amp; "') " &amp; CHAR(10) &amp;
"AND SCHEMA() IN ('alura', 'aluraproduction');" &amp;
CHAR(10) &amp; CHAR(10) &amp;
"SET @skill_attribute_" &amp; A131 &amp; "_id = (SELECT id FROM SkillAttribute WHERE code = '" &amp; A131 &amp; "');" &amp;
CHAR(10) &amp; CHAR(10) &amp;
"INSERT INTO Skill_SkillAttribute(skill_id, skill_attribute_id) " &amp; CHAR(10) &amp;
"SELECT @skill_" &amp; C131 &amp; "_id, @skill_attribute_" &amp; A131 &amp; "_id WHERE SCHEMA() IN ('alura', 'aluraproduction');"</f>
        <v>INSERT INTO SkillAttribute(code, title) 
SELECT 'D70', 'Reconhecer os componentes de um registro, como campos e valores.' 
WHERE NOT EXISTS (SELECT 1 FROM SkillAttribute WHERE code = 'D70') 
AND SCHEMA() IN ('alura', 'aluraproduction');
SET @skill_attribute_D70_id = (SELECT id FROM SkillAttribute WHERE code = 'D70');
INSERT INTO Skill_SkillAttribute(skill_id, skill_attribute_id) 
SELECT @skill_EF07CO01_id, @skill_attribute_D70_id WHERE SCHEMA() IN ('alura', 'aluraproduction');</v>
      </c>
    </row>
    <row r="132" spans="1:4" ht="15" customHeight="1">
      <c r="A132" s="19" t="s">
        <v>433</v>
      </c>
      <c r="B132" s="14" t="s">
        <v>434</v>
      </c>
      <c r="C132" s="16" t="s">
        <v>58</v>
      </c>
      <c r="D132" s="36" t="str">
        <f t="shared" si="2"/>
        <v>INSERT INTO SkillAttribute(code, title) 
SELECT 'D71', 'Reconhecer os elementos de uma matriz unidimensional e sua posição por meio de índices.' 
WHERE NOT EXISTS (SELECT 1 FROM SkillAttribute WHERE code = 'D71') 
AND SCHEMA() IN ('alura', 'aluraproduction');
SET @skill_attribute_D71_id = (SELECT id FROM SkillAttribute WHERE code = 'D71');
INSERT INTO Skill_SkillAttribute(skill_id, skill_attribute_id) 
SELECT @skill_EF07CO01_id, @skill_attribute_D71_id WHERE SCHEMA() IN ('alura', 'aluraproduction');</v>
      </c>
    </row>
    <row r="133" spans="1:4" ht="15" customHeight="1">
      <c r="A133" s="19" t="s">
        <v>435</v>
      </c>
      <c r="B133" s="14" t="s">
        <v>436</v>
      </c>
      <c r="C133" s="16" t="s">
        <v>58</v>
      </c>
      <c r="D133" s="36" t="str">
        <f t="shared" si="2"/>
        <v>INSERT INTO SkillAttribute(code, title) 
SELECT 'D72', 'Relacionar a posição de um dado em uma matriz à lógica da solução de um problema.' 
WHERE NOT EXISTS (SELECT 1 FROM SkillAttribute WHERE code = 'D72') 
AND SCHEMA() IN ('alura', 'aluraproduction');
SET @skill_attribute_D72_id = (SELECT id FROM SkillAttribute WHERE code = 'D72');
INSERT INTO Skill_SkillAttribute(skill_id, skill_attribute_id) 
SELECT @skill_EF07CO01_id, @skill_attribute_D72_id WHERE SCHEMA() IN ('alura', 'aluraproduction');</v>
      </c>
    </row>
    <row r="134" spans="1:4" ht="15" customHeight="1">
      <c r="A134" s="19" t="s">
        <v>437</v>
      </c>
      <c r="B134" s="14" t="s">
        <v>438</v>
      </c>
      <c r="C134" s="16" t="s">
        <v>58</v>
      </c>
      <c r="D134" s="36" t="str">
        <f t="shared" si="2"/>
        <v>INSERT INTO SkillAttribute(code, title) 
SELECT 'D73', 'Identificar comandos ou estruturas que automatizam o uso de registros em uma linguagem de programação.' 
WHERE NOT EXISTS (SELECT 1 FROM SkillAttribute WHERE code = 'D73') 
AND SCHEMA() IN ('alura', 'aluraproduction');
SET @skill_attribute_D73_id = (SELECT id FROM SkillAttribute WHERE code = 'D73');
INSERT INTO Skill_SkillAttribute(skill_id, skill_attribute_id) 
SELECT @skill_EF07CO01_id, @skill_attribute_D73_id WHERE SCHEMA() IN ('alura', 'aluraproduction');</v>
      </c>
    </row>
    <row r="135" spans="1:4" ht="15" customHeight="1">
      <c r="A135" s="19" t="s">
        <v>439</v>
      </c>
      <c r="B135" s="14" t="s">
        <v>440</v>
      </c>
      <c r="C135" s="16" t="s">
        <v>58</v>
      </c>
      <c r="D135" s="36" t="str">
        <f t="shared" si="2"/>
        <v>INSERT INTO SkillAttribute(code, title) 
SELECT 'D74', 'Compreender como a automatização de registros ocorre em uma linguagem de programação.' 
WHERE NOT EXISTS (SELECT 1 FROM SkillAttribute WHERE code = 'D74') 
AND SCHEMA() IN ('alura', 'aluraproduction');
SET @skill_attribute_D74_id = (SELECT id FROM SkillAttribute WHERE code = 'D74');
INSERT INTO Skill_SkillAttribute(skill_id, skill_attribute_id) 
SELECT @skill_EF07CO01_id, @skill_attribute_D74_id WHERE SCHEMA() IN ('alura', 'aluraproduction');</v>
      </c>
    </row>
    <row r="136" spans="1:4" ht="15" customHeight="1">
      <c r="A136" s="19" t="s">
        <v>441</v>
      </c>
      <c r="B136" s="14" t="s">
        <v>442</v>
      </c>
      <c r="C136" s="16" t="s">
        <v>58</v>
      </c>
      <c r="D136" s="36" t="str">
        <f t="shared" si="2"/>
        <v>INSERT INTO SkillAttribute(code, title) 
SELECT 'D75', 'Analisar automatizações em registros.' 
WHERE NOT EXISTS (SELECT 1 FROM SkillAttribute WHERE code = 'D75') 
AND SCHEMA() IN ('alura', 'aluraproduction');
SET @skill_attribute_D75_id = (SELECT id FROM SkillAttribute WHERE code = 'D75');
INSERT INTO Skill_SkillAttribute(skill_id, skill_attribute_id) 
SELECT @skill_EF07CO01_id, @skill_attribute_D75_id WHERE SCHEMA() IN ('alura', 'aluraproduction');</v>
      </c>
    </row>
    <row r="137" spans="1:4" ht="15" customHeight="1">
      <c r="A137" s="19" t="s">
        <v>443</v>
      </c>
      <c r="B137" s="14" t="s">
        <v>444</v>
      </c>
      <c r="C137" s="16" t="s">
        <v>58</v>
      </c>
      <c r="D137" s="36" t="str">
        <f t="shared" si="2"/>
        <v>INSERT INTO SkillAttribute(code, title) 
SELECT 'D76', 'Identificar comandos ou estruturas que automatizam o uso de matrizes unidimensionais.' 
WHERE NOT EXISTS (SELECT 1 FROM SkillAttribute WHERE code = 'D76') 
AND SCHEMA() IN ('alura', 'aluraproduction');
SET @skill_attribute_D76_id = (SELECT id FROM SkillAttribute WHERE code = 'D76');
INSERT INTO Skill_SkillAttribute(skill_id, skill_attribute_id) 
SELECT @skill_EF07CO01_id, @skill_attribute_D76_id WHERE SCHEMA() IN ('alura', 'aluraproduction');</v>
      </c>
    </row>
    <row r="138" spans="1:4" ht="15" customHeight="1">
      <c r="A138" s="19" t="s">
        <v>445</v>
      </c>
      <c r="B138" s="14" t="s">
        <v>446</v>
      </c>
      <c r="C138" s="16" t="s">
        <v>58</v>
      </c>
      <c r="D138" s="36" t="str">
        <f t="shared" si="2"/>
        <v>INSERT INTO SkillAttribute(code, title) 
SELECT 'D77', 'Compreender como a automatização de matrizes unidimensionais ocorre em uma linguagem de programação.' 
WHERE NOT EXISTS (SELECT 1 FROM SkillAttribute WHERE code = 'D77') 
AND SCHEMA() IN ('alura', 'aluraproduction');
SET @skill_attribute_D77_id = (SELECT id FROM SkillAttribute WHERE code = 'D77');
INSERT INTO Skill_SkillAttribute(skill_id, skill_attribute_id) 
SELECT @skill_EF07CO01_id, @skill_attribute_D77_id WHERE SCHEMA() IN ('alura', 'aluraproduction');</v>
      </c>
    </row>
    <row r="139" spans="1:4" ht="15" customHeight="1">
      <c r="A139" s="19" t="s">
        <v>447</v>
      </c>
      <c r="B139" s="14" t="s">
        <v>448</v>
      </c>
      <c r="C139" s="16" t="s">
        <v>58</v>
      </c>
      <c r="D139" s="36" t="str">
        <f t="shared" si="2"/>
        <v>INSERT INTO SkillAttribute(code, title) 
SELECT 'D78', 'Analisar automatizações de matrizes unidimensionais.' 
WHERE NOT EXISTS (SELECT 1 FROM SkillAttribute WHERE code = 'D78') 
AND SCHEMA() IN ('alura', 'aluraproduction');
SET @skill_attribute_D78_id = (SELECT id FROM SkillAttribute WHERE code = 'D78');
INSERT INTO Skill_SkillAttribute(skill_id, skill_attribute_id) 
SELECT @skill_EF07CO01_id, @skill_attribute_D78_id WHERE SCHEMA() IN ('alura', 'aluraproduction');</v>
      </c>
    </row>
    <row r="140" spans="1:4" ht="15" customHeight="1">
      <c r="A140" s="19" t="s">
        <v>449</v>
      </c>
      <c r="B140" s="14" t="s">
        <v>450</v>
      </c>
      <c r="C140" s="16" t="s">
        <v>58</v>
      </c>
      <c r="D140" s="36" t="str">
        <f t="shared" si="2"/>
        <v>INSERT INTO SkillAttribute(code, title) 
SELECT 'D79', 'Relacionar o tipo de estrutura de dados utilizada (registro ou matriz) à complexidade ou ao tipo de problema resolvido.' 
WHERE NOT EXISTS (SELECT 1 FROM SkillAttribute WHERE code = 'D79') 
AND SCHEMA() IN ('alura', 'aluraproduction');
SET @skill_attribute_D79_id = (SELECT id FROM SkillAttribute WHERE code = 'D79');
INSERT INTO Skill_SkillAttribute(skill_id, skill_attribute_id) 
SELECT @skill_EF07CO01_id, @skill_attribute_D79_id WHERE SCHEMA() IN ('alura', 'aluraproduction');</v>
      </c>
    </row>
    <row r="141" spans="1:4" ht="15" customHeight="1">
      <c r="A141" s="19" t="s">
        <v>451</v>
      </c>
      <c r="B141" s="14" t="s">
        <v>452</v>
      </c>
      <c r="C141" s="16" t="s">
        <v>60</v>
      </c>
      <c r="D141" s="36" t="str">
        <f t="shared" si="2"/>
        <v>INSERT INTO SkillAttribute(code, title) 
SELECT 'D80', 'Interpretar o comportamento de um programa a partir da análise de seus comandos.' 
WHERE NOT EXISTS (SELECT 1 FROM SkillAttribute WHERE code = 'D80') 
AND SCHEMA() IN ('alura', 'aluraproduction');
SET @skill_attribute_D80_id = (SELECT id FROM SkillAttribute WHERE code = 'D80');
INSERT INTO Skill_SkillAttribute(skill_id, skill_attribute_id) 
SELECT @skill_EF07CO02_id, @skill_attribute_D80_id WHERE SCHEMA() IN ('alura', 'aluraproduction');</v>
      </c>
    </row>
    <row r="142" spans="1:4" ht="15" customHeight="1">
      <c r="A142" s="19" t="s">
        <v>453</v>
      </c>
      <c r="B142" s="14" t="s">
        <v>454</v>
      </c>
      <c r="C142" s="16" t="s">
        <v>60</v>
      </c>
      <c r="D142" s="36" t="str">
        <f t="shared" si="2"/>
        <v>INSERT INTO SkillAttribute(code, title) 
SELECT 'D81', 'Analisar a lógica de execução de um programa para verificar se atende ao problema proposto.' 
WHERE NOT EXISTS (SELECT 1 FROM SkillAttribute WHERE code = 'D81') 
AND SCHEMA() IN ('alura', 'aluraproduction');
SET @skill_attribute_D81_id = (SELECT id FROM SkillAttribute WHERE code = 'D81');
INSERT INTO Skill_SkillAttribute(skill_id, skill_attribute_id) 
SELECT @skill_EF07CO02_id, @skill_attribute_D81_id WHERE SCHEMA() IN ('alura', 'aluraproduction');</v>
      </c>
    </row>
    <row r="143" spans="1:4" ht="15" customHeight="1">
      <c r="A143" s="19" t="s">
        <v>455</v>
      </c>
      <c r="B143" s="14" t="s">
        <v>456</v>
      </c>
      <c r="C143" s="16" t="s">
        <v>60</v>
      </c>
      <c r="D143" s="36" t="str">
        <f t="shared" si="2"/>
        <v>INSERT INTO SkillAttribute(code, title) 
SELECT 'D82', 'Identificar erros de execução ou lógica em programas simples.' 
WHERE NOT EXISTS (SELECT 1 FROM SkillAttribute WHERE code = 'D82') 
AND SCHEMA() IN ('alura', 'aluraproduction');
SET @skill_attribute_D82_id = (SELECT id FROM SkillAttribute WHERE code = 'D82');
INSERT INTO Skill_SkillAttribute(skill_id, skill_attribute_id) 
SELECT @skill_EF07CO02_id, @skill_attribute_D82_id WHERE SCHEMA() IN ('alura', 'aluraproduction');</v>
      </c>
    </row>
    <row r="144" spans="1:4" ht="15" customHeight="1">
      <c r="A144" s="19" t="s">
        <v>457</v>
      </c>
      <c r="B144" s="14" t="s">
        <v>458</v>
      </c>
      <c r="C144" s="16" t="s">
        <v>60</v>
      </c>
      <c r="D144" s="36" t="str">
        <f t="shared" si="2"/>
        <v>INSERT INTO SkillAttribute(code, title) 
SELECT 'D83', 'Reconhecer comportamentos incorretos em um programa a partir de sua saída ou resultado.' 
WHERE NOT EXISTS (SELECT 1 FROM SkillAttribute WHERE code = 'D83') 
AND SCHEMA() IN ('alura', 'aluraproduction');
SET @skill_attribute_D83_id = (SELECT id FROM SkillAttribute WHERE code = 'D83');
INSERT INTO Skill_SkillAttribute(skill_id, skill_attribute_id) 
SELECT @skill_EF07CO02_id, @skill_attribute_D83_id WHERE SCHEMA() IN ('alura', 'aluraproduction');</v>
      </c>
    </row>
    <row r="145" spans="1:4" ht="15" customHeight="1">
      <c r="A145" s="19" t="s">
        <v>459</v>
      </c>
      <c r="B145" s="14" t="s">
        <v>460</v>
      </c>
      <c r="C145" s="16" t="s">
        <v>60</v>
      </c>
      <c r="D145" s="36" t="str">
        <f t="shared" si="2"/>
        <v>INSERT INTO SkillAttribute(code, title) 
SELECT 'D84', 'Analisar situações em que o código executa sem erros, mas não resolve corretamente o problema.' 
WHERE NOT EXISTS (SELECT 1 FROM SkillAttribute WHERE code = 'D84') 
AND SCHEMA() IN ('alura', 'aluraproduction');
SET @skill_attribute_D84_id = (SELECT id FROM SkillAttribute WHERE code = 'D84');
INSERT INTO Skill_SkillAttribute(skill_id, skill_attribute_id) 
SELECT @skill_EF07CO02_id, @skill_attribute_D84_id WHERE SCHEMA() IN ('alura', 'aluraproduction');</v>
      </c>
    </row>
    <row r="146" spans="1:4" ht="15" customHeight="1">
      <c r="A146" s="19" t="s">
        <v>461</v>
      </c>
      <c r="B146" s="14" t="s">
        <v>462</v>
      </c>
      <c r="C146" s="16" t="s">
        <v>60</v>
      </c>
      <c r="D146" s="36" t="str">
        <f t="shared" si="2"/>
        <v>INSERT INTO SkillAttribute(code, title) 
SELECT 'D85', 'Identificar modificações no código que corrigem comportamentos incorretos.' 
WHERE NOT EXISTS (SELECT 1 FROM SkillAttribute WHERE code = 'D85') 
AND SCHEMA() IN ('alura', 'aluraproduction');
SET @skill_attribute_D85_id = (SELECT id FROM SkillAttribute WHERE code = 'D85');
INSERT INTO Skill_SkillAttribute(skill_id, skill_attribute_id) 
SELECT @skill_EF07CO02_id, @skill_attribute_D85_id WHERE SCHEMA() IN ('alura', 'aluraproduction');</v>
      </c>
    </row>
    <row r="147" spans="1:4" ht="15" customHeight="1">
      <c r="A147" s="19" t="s">
        <v>463</v>
      </c>
      <c r="B147" s="14" t="s">
        <v>464</v>
      </c>
      <c r="C147" s="16" t="s">
        <v>60</v>
      </c>
      <c r="D147" s="36" t="str">
        <f t="shared" si="2"/>
        <v>INSERT INTO SkillAttribute(code, title) 
SELECT 'D86', 'Analisar os efeitos de uma modificação no funcionamento do programa.' 
WHERE NOT EXISTS (SELECT 1 FROM SkillAttribute WHERE code = 'D86') 
AND SCHEMA() IN ('alura', 'aluraproduction');
SET @skill_attribute_D86_id = (SELECT id FROM SkillAttribute WHERE code = 'D86');
INSERT INTO Skill_SkillAttribute(skill_id, skill_attribute_id) 
SELECT @skill_EF07CO02_id, @skill_attribute_D86_id WHERE SCHEMA() IN ('alura', 'aluraproduction');</v>
      </c>
    </row>
    <row r="148" spans="1:4" ht="15" customHeight="1">
      <c r="A148" s="19" t="s">
        <v>465</v>
      </c>
      <c r="B148" s="14" t="s">
        <v>466</v>
      </c>
      <c r="C148" s="16" t="s">
        <v>60</v>
      </c>
      <c r="D148" s="36" t="str">
        <f t="shared" si="2"/>
        <v>INSERT INTO SkillAttribute(code, title) 
SELECT 'D87', 'Relacionar a correção de erros à melhoria da confiabilidade do programa.' 
WHERE NOT EXISTS (SELECT 1 FROM SkillAttribute WHERE code = 'D87') 
AND SCHEMA() IN ('alura', 'aluraproduction');
SET @skill_attribute_D87_id = (SELECT id FROM SkillAttribute WHERE code = 'D87');
INSERT INTO Skill_SkillAttribute(skill_id, skill_attribute_id) 
SELECT @skill_EF07CO02_id, @skill_attribute_D87_id WHERE SCHEMA() IN ('alura', 'aluraproduction');</v>
      </c>
    </row>
    <row r="149" spans="1:4" ht="15" customHeight="1">
      <c r="A149" s="19" t="s">
        <v>467</v>
      </c>
      <c r="B149" s="14" t="s">
        <v>468</v>
      </c>
      <c r="C149" s="16" t="s">
        <v>62</v>
      </c>
      <c r="D149" s="36" t="str">
        <f t="shared" si="2"/>
        <v>INSERT INTO SkillAttribute(code, title) 
SELECT 'D88', 'Identificar soluções computacionais de problemas de diferentes áreas do conhecimento.' 
WHERE NOT EXISTS (SELECT 1 FROM SkillAttribute WHERE code = 'D88') 
AND SCHEMA() IN ('alura', 'aluraproduction');
SET @skill_attribute_D88_id = (SELECT id FROM SkillAttribute WHERE code = 'D88');
INSERT INTO Skill_SkillAttribute(skill_id, skill_attribute_id) 
SELECT @skill_EF07CO03_id, @skill_attribute_D88_id WHERE SCHEMA() IN ('alura', 'aluraproduction');</v>
      </c>
    </row>
    <row r="150" spans="1:4" ht="15" customHeight="1">
      <c r="A150" s="19" t="s">
        <v>469</v>
      </c>
      <c r="B150" s="14" t="s">
        <v>470</v>
      </c>
      <c r="C150" s="16" t="s">
        <v>62</v>
      </c>
      <c r="D150" s="36" t="str">
        <f t="shared" si="2"/>
        <v>INSERT INTO SkillAttribute(code, title) 
SELECT 'D89', 'Analisar soluções computacionais de problemas de diferentes áreas do conhecimento.' 
WHERE NOT EXISTS (SELECT 1 FROM SkillAttribute WHERE code = 'D89') 
AND SCHEMA() IN ('alura', 'aluraproduction');
SET @skill_attribute_D89_id = (SELECT id FROM SkillAttribute WHERE code = 'D89');
INSERT INTO Skill_SkillAttribute(skill_id, skill_attribute_id) 
SELECT @skill_EF07CO03_id, @skill_attribute_D89_id WHERE SCHEMA() IN ('alura', 'aluraproduction');</v>
      </c>
    </row>
    <row r="151" spans="1:4" ht="15" customHeight="1">
      <c r="A151" s="19" t="s">
        <v>471</v>
      </c>
      <c r="B151" s="14" t="s">
        <v>472</v>
      </c>
      <c r="C151" s="16" t="s">
        <v>62</v>
      </c>
      <c r="D151" s="36" t="str">
        <f t="shared" si="2"/>
        <v>INSERT INTO SkillAttribute(code, title) 
SELECT 'D90', 'Reconhecer estruturas de dados.' 
WHERE NOT EXISTS (SELECT 1 FROM SkillAttribute WHERE code = 'D90') 
AND SCHEMA() IN ('alura', 'aluraproduction');
SET @skill_attribute_D90_id = (SELECT id FROM SkillAttribute WHERE code = 'D90');
INSERT INTO Skill_SkillAttribute(skill_id, skill_attribute_id) 
SELECT @skill_EF07CO03_id, @skill_attribute_D90_id WHERE SCHEMA() IN ('alura', 'aluraproduction');</v>
      </c>
    </row>
    <row r="152" spans="1:4" ht="15" customHeight="1">
      <c r="A152" s="19" t="s">
        <v>473</v>
      </c>
      <c r="B152" s="14" t="s">
        <v>474</v>
      </c>
      <c r="C152" s="16" t="s">
        <v>62</v>
      </c>
      <c r="D152" s="36" t="str">
        <f t="shared" si="2"/>
        <v>INSERT INTO SkillAttribute(code, title) 
SELECT 'D91', 'Analisar estruturas de dados.' 
WHERE NOT EXISTS (SELECT 1 FROM SkillAttribute WHERE code = 'D91') 
AND SCHEMA() IN ('alura', 'aluraproduction');
SET @skill_attribute_D91_id = (SELECT id FROM SkillAttribute WHERE code = 'D91');
INSERT INTO Skill_SkillAttribute(skill_id, skill_attribute_id) 
SELECT @skill_EF07CO03_id, @skill_attribute_D91_id WHERE SCHEMA() IN ('alura', 'aluraproduction');</v>
      </c>
    </row>
    <row r="153" spans="1:4" ht="15" customHeight="1">
      <c r="A153" s="19" t="s">
        <v>475</v>
      </c>
      <c r="B153" s="14" t="s">
        <v>476</v>
      </c>
      <c r="C153" s="16" t="s">
        <v>62</v>
      </c>
      <c r="D153" s="36" t="str">
        <f t="shared" si="2"/>
        <v>INSERT INTO SkillAttribute(code, title) 
SELECT 'D92', 'Identificar técnicas utilizadas em soluções computacionais.' 
WHERE NOT EXISTS (SELECT 1 FROM SkillAttribute WHERE code = 'D92') 
AND SCHEMA() IN ('alura', 'aluraproduction');
SET @skill_attribute_D92_id = (SELECT id FROM SkillAttribute WHERE code = 'D92');
INSERT INTO Skill_SkillAttribute(skill_id, skill_attribute_id) 
SELECT @skill_EF07CO03_id, @skill_attribute_D92_id WHERE SCHEMA() IN ('alura', 'aluraproduction');</v>
      </c>
    </row>
    <row r="154" spans="1:4" ht="15" customHeight="1">
      <c r="A154" s="19" t="s">
        <v>477</v>
      </c>
      <c r="B154" s="14" t="s">
        <v>478</v>
      </c>
      <c r="C154" s="16" t="s">
        <v>62</v>
      </c>
      <c r="D154" s="36" t="str">
        <f t="shared" si="2"/>
        <v>INSERT INTO SkillAttribute(code, title) 
SELECT 'D93', 'Interpretar técnicas utilizadas em soluções computacionais.' 
WHERE NOT EXISTS (SELECT 1 FROM SkillAttribute WHERE code = 'D93') 
AND SCHEMA() IN ('alura', 'aluraproduction');
SET @skill_attribute_D93_id = (SELECT id FROM SkillAttribute WHERE code = 'D93');
INSERT INTO Skill_SkillAttribute(skill_id, skill_attribute_id) 
SELECT @skill_EF07CO03_id, @skill_attribute_D93_id WHERE SCHEMA() IN ('alura', 'aluraproduction');</v>
      </c>
    </row>
    <row r="155" spans="1:4" ht="15" customHeight="1">
      <c r="A155" s="19" t="s">
        <v>479</v>
      </c>
      <c r="B155" s="14" t="s">
        <v>480</v>
      </c>
      <c r="C155" s="16" t="s">
        <v>62</v>
      </c>
      <c r="D155" s="36" t="str">
        <f t="shared" si="2"/>
        <v>INSERT INTO SkillAttribute(code, title) 
SELECT 'D94', 'Relacionar soluções computacionais aos saberes escolares.' 
WHERE NOT EXISTS (SELECT 1 FROM SkillAttribute WHERE code = 'D94') 
AND SCHEMA() IN ('alura', 'aluraproduction');
SET @skill_attribute_D94_id = (SELECT id FROM SkillAttribute WHERE code = 'D94');
INSERT INTO Skill_SkillAttribute(skill_id, skill_attribute_id) 
SELECT @skill_EF07CO03_id, @skill_attribute_D94_id WHERE SCHEMA() IN ('alura', 'aluraproduction');</v>
      </c>
    </row>
    <row r="156" spans="1:4" ht="15" customHeight="1">
      <c r="A156" s="19" t="s">
        <v>481</v>
      </c>
      <c r="B156" s="14" t="s">
        <v>482</v>
      </c>
      <c r="C156" s="16" t="s">
        <v>62</v>
      </c>
      <c r="D156" s="36" t="str">
        <f t="shared" si="2"/>
        <v>INSERT INTO SkillAttribute(code, title) 
SELECT 'D95', 'Relacionar técnicas computacionais ao tipo de problema que resolvem.' 
WHERE NOT EXISTS (SELECT 1 FROM SkillAttribute WHERE code = 'D95') 
AND SCHEMA() IN ('alura', 'aluraproduction');
SET @skill_attribute_D95_id = (SELECT id FROM SkillAttribute WHERE code = 'D95');
INSERT INTO Skill_SkillAttribute(skill_id, skill_attribute_id) 
SELECT @skill_EF07CO03_id, @skill_attribute_D95_id WHERE SCHEMA() IN ('alura', 'aluraproduction');</v>
      </c>
    </row>
    <row r="157" spans="1:4" ht="15" customHeight="1">
      <c r="A157" s="19" t="s">
        <v>483</v>
      </c>
      <c r="B157" s="14" t="s">
        <v>484</v>
      </c>
      <c r="C157" s="16" t="s">
        <v>62</v>
      </c>
      <c r="D157" s="36" t="str">
        <f t="shared" si="2"/>
        <v>INSERT INTO SkillAttribute(code, title) 
SELECT 'D96', 'Reconhecer etapas de desenvolvimento colaborativo em soluções computacionais.' 
WHERE NOT EXISTS (SELECT 1 FROM SkillAttribute WHERE code = 'D96') 
AND SCHEMA() IN ('alura', 'aluraproduction');
SET @skill_attribute_D96_id = (SELECT id FROM SkillAttribute WHERE code = 'D96');
INSERT INTO Skill_SkillAttribute(skill_id, skill_attribute_id) 
SELECT @skill_EF07CO03_id, @skill_attribute_D96_id WHERE SCHEMA() IN ('alura', 'aluraproduction');</v>
      </c>
    </row>
    <row r="158" spans="1:4" ht="15" customHeight="1">
      <c r="A158" s="19" t="s">
        <v>485</v>
      </c>
      <c r="B158" s="14" t="s">
        <v>486</v>
      </c>
      <c r="C158" s="16" t="s">
        <v>62</v>
      </c>
      <c r="D158" s="36" t="str">
        <f t="shared" si="2"/>
        <v>INSERT INTO SkillAttribute(code, title) 
SELECT 'D97', 'Analisar como conhecimentos de outras disciplinas contribuem para a construção de uma solução computacional.' 
WHERE NOT EXISTS (SELECT 1 FROM SkillAttribute WHERE code = 'D97') 
AND SCHEMA() IN ('alura', 'aluraproduction');
SET @skill_attribute_D97_id = (SELECT id FROM SkillAttribute WHERE code = 'D97');
INSERT INTO Skill_SkillAttribute(skill_id, skill_attribute_id) 
SELECT @skill_EF07CO03_id, @skill_attribute_D97_id WHERE SCHEMA() IN ('alura', 'aluraproduction');</v>
      </c>
    </row>
    <row r="159" spans="1:4" ht="15" customHeight="1">
      <c r="A159" s="20" t="s">
        <v>487</v>
      </c>
      <c r="B159" s="15" t="s">
        <v>488</v>
      </c>
      <c r="C159" s="16" t="s">
        <v>64</v>
      </c>
      <c r="D159" s="36" t="str">
        <f t="shared" si="2"/>
        <v>INSERT INTO SkillAttribute(code, title) 
SELECT 'D487', 'Identificar elementos que compõem um grafo.' 
WHERE NOT EXISTS (SELECT 1 FROM SkillAttribute WHERE code = 'D487') 
AND SCHEMA() IN ('alura', 'aluraproduction');
SET @skill_attribute_D487_id = (SELECT id FROM SkillAttribute WHERE code = 'D487');
INSERT INTO Skill_SkillAttribute(skill_id, skill_attribute_id) 
SELECT @skill_EF07CO04_id, @skill_attribute_D487_id WHERE SCHEMA() IN ('alura', 'aluraproduction');</v>
      </c>
    </row>
    <row r="160" spans="1:4" ht="15" customHeight="1">
      <c r="A160" s="20" t="s">
        <v>489</v>
      </c>
      <c r="B160" s="15" t="s">
        <v>490</v>
      </c>
      <c r="C160" s="16" t="s">
        <v>64</v>
      </c>
      <c r="D160" s="36" t="str">
        <f t="shared" si="2"/>
        <v>INSERT INTO SkillAttribute(code, title) 
SELECT 'D488', 'Compreender a estrutura básica de um grafo.' 
WHERE NOT EXISTS (SELECT 1 FROM SkillAttribute WHERE code = 'D488') 
AND SCHEMA() IN ('alura', 'aluraproduction');
SET @skill_attribute_D488_id = (SELECT id FROM SkillAttribute WHERE code = 'D488');
INSERT INTO Skill_SkillAttribute(skill_id, skill_attribute_id) 
SELECT @skill_EF07CO04_id, @skill_attribute_D488_id WHERE SCHEMA() IN ('alura', 'aluraproduction');</v>
      </c>
    </row>
    <row r="161" spans="1:4" ht="15" customHeight="1">
      <c r="A161" s="20" t="s">
        <v>491</v>
      </c>
      <c r="B161" s="15" t="s">
        <v>492</v>
      </c>
      <c r="C161" s="16" t="s">
        <v>64</v>
      </c>
      <c r="D161" s="36" t="str">
        <f t="shared" si="2"/>
        <v>INSERT INTO SkillAttribute(code, title) 
SELECT 'D489', 'Analisar como os elementos de um grafo se conectam entre si.' 
WHERE NOT EXISTS (SELECT 1 FROM SkillAttribute WHERE code = 'D489') 
AND SCHEMA() IN ('alura', 'aluraproduction');
SET @skill_attribute_D489_id = (SELECT id FROM SkillAttribute WHERE code = 'D489');
INSERT INTO Skill_SkillAttribute(skill_id, skill_attribute_id) 
SELECT @skill_EF07CO04_id, @skill_attribute_D489_id WHERE SCHEMA() IN ('alura', 'aluraproduction');</v>
      </c>
    </row>
    <row r="162" spans="1:4" ht="15" customHeight="1">
      <c r="A162" s="20" t="s">
        <v>493</v>
      </c>
      <c r="B162" s="15" t="s">
        <v>494</v>
      </c>
      <c r="C162" s="16" t="s">
        <v>64</v>
      </c>
      <c r="D162" s="36" t="str">
        <f t="shared" si="2"/>
        <v>INSERT INTO SkillAttribute(code, title) 
SELECT 'D490', 'Identificar relações representadas em um grafo.' 
WHERE NOT EXISTS (SELECT 1 FROM SkillAttribute WHERE code = 'D490') 
AND SCHEMA() IN ('alura', 'aluraproduction');
SET @skill_attribute_D490_id = (SELECT id FROM SkillAttribute WHERE code = 'D490');
INSERT INTO Skill_SkillAttribute(skill_id, skill_attribute_id) 
SELECT @skill_EF07CO04_id, @skill_attribute_D490_id WHERE SCHEMA() IN ('alura', 'aluraproduction');</v>
      </c>
    </row>
    <row r="163" spans="1:4" ht="15" customHeight="1">
      <c r="A163" s="20" t="s">
        <v>495</v>
      </c>
      <c r="B163" s="15" t="s">
        <v>496</v>
      </c>
      <c r="C163" s="16" t="s">
        <v>64</v>
      </c>
      <c r="D163" s="36" t="str">
        <f t="shared" si="2"/>
        <v>INSERT INTO SkillAttribute(code, title) 
SELECT 'D491', 'Compreender informações representadas por grafos.' 
WHERE NOT EXISTS (SELECT 1 FROM SkillAttribute WHERE code = 'D491') 
AND SCHEMA() IN ('alura', 'aluraproduction');
SET @skill_attribute_D491_id = (SELECT id FROM SkillAttribute WHERE code = 'D491');
INSERT INTO Skill_SkillAttribute(skill_id, skill_attribute_id) 
SELECT @skill_EF07CO04_id, @skill_attribute_D491_id WHERE SCHEMA() IN ('alura', 'aluraproduction');</v>
      </c>
    </row>
    <row r="164" spans="1:4" ht="15" customHeight="1">
      <c r="A164" s="20" t="s">
        <v>497</v>
      </c>
      <c r="B164" s="15" t="s">
        <v>498</v>
      </c>
      <c r="C164" s="16" t="s">
        <v>64</v>
      </c>
      <c r="D164" s="36" t="str">
        <f t="shared" si="2"/>
        <v>INSERT INTO SkillAttribute(code, title) 
SELECT 'D492', 'Analisar trajetos ou caminhos possíveis em um grafo.' 
WHERE NOT EXISTS (SELECT 1 FROM SkillAttribute WHERE code = 'D492') 
AND SCHEMA() IN ('alura', 'aluraproduction');
SET @skill_attribute_D492_id = (SELECT id FROM SkillAttribute WHERE code = 'D492');
INSERT INTO Skill_SkillAttribute(skill_id, skill_attribute_id) 
SELECT @skill_EF07CO04_id, @skill_attribute_D492_id WHERE SCHEMA() IN ('alura', 'aluraproduction');</v>
      </c>
    </row>
    <row r="165" spans="1:4" ht="15" customHeight="1">
      <c r="A165" s="20" t="s">
        <v>499</v>
      </c>
      <c r="B165" s="15" t="s">
        <v>500</v>
      </c>
      <c r="C165" s="16" t="s">
        <v>64</v>
      </c>
      <c r="D165" s="36" t="str">
        <f t="shared" si="2"/>
        <v>INSERT INTO SkillAttribute(code, title) 
SELECT 'D493', 'Identificar propriedades de grafos em situações representadas.' 
WHERE NOT EXISTS (SELECT 1 FROM SkillAttribute WHERE code = 'D493') 
AND SCHEMA() IN ('alura', 'aluraproduction');
SET @skill_attribute_D493_id = (SELECT id FROM SkillAttribute WHERE code = 'D493');
INSERT INTO Skill_SkillAttribute(skill_id, skill_attribute_id) 
SELECT @skill_EF07CO04_id, @skill_attribute_D493_id WHERE SCHEMA() IN ('alura', 'aluraproduction');</v>
      </c>
    </row>
    <row r="166" spans="1:4" ht="15" customHeight="1">
      <c r="A166" s="20" t="s">
        <v>501</v>
      </c>
      <c r="B166" s="15" t="s">
        <v>502</v>
      </c>
      <c r="C166" s="16" t="s">
        <v>64</v>
      </c>
      <c r="D166" s="36" t="str">
        <f t="shared" si="2"/>
        <v>INSERT INTO SkillAttribute(code, title) 
SELECT 'D494', 'Compreender o conceito de conexões em um grafo.' 
WHERE NOT EXISTS (SELECT 1 FROM SkillAttribute WHERE code = 'D494') 
AND SCHEMA() IN ('alura', 'aluraproduction');
SET @skill_attribute_D494_id = (SELECT id FROM SkillAttribute WHERE code = 'D494');
INSERT INTO Skill_SkillAttribute(skill_id, skill_attribute_id) 
SELECT @skill_EF07CO04_id, @skill_attribute_D494_id WHERE SCHEMA() IN ('alura', 'aluraproduction');</v>
      </c>
    </row>
    <row r="167" spans="1:4" ht="15" customHeight="1">
      <c r="A167" s="20" t="s">
        <v>503</v>
      </c>
      <c r="B167" s="15" t="s">
        <v>504</v>
      </c>
      <c r="C167" s="16" t="s">
        <v>64</v>
      </c>
      <c r="D167" s="36" t="str">
        <f t="shared" si="2"/>
        <v>INSERT INTO SkillAttribute(code, title) 
SELECT 'D495', 'Analisar a existência de ciclos em um grafo.' 
WHERE NOT EXISTS (SELECT 1 FROM SkillAttribute WHERE code = 'D495') 
AND SCHEMA() IN ('alura', 'aluraproduction');
SET @skill_attribute_D495_id = (SELECT id FROM SkillAttribute WHERE code = 'D495');
INSERT INTO Skill_SkillAttribute(skill_id, skill_attribute_id) 
SELECT @skill_EF07CO04_id, @skill_attribute_D495_id WHERE SCHEMA() IN ('alura', 'aluraproduction');</v>
      </c>
    </row>
    <row r="168" spans="1:4" ht="15" customHeight="1">
      <c r="A168" s="20" t="s">
        <v>505</v>
      </c>
      <c r="B168" s="15" t="s">
        <v>506</v>
      </c>
      <c r="C168" s="16" t="s">
        <v>64</v>
      </c>
      <c r="D168" s="36" t="str">
        <f t="shared" si="2"/>
        <v>INSERT INTO SkillAttribute(code, title) 
SELECT 'D496', 'Analisar a existência de caminhos fechados em um grafo.' 
WHERE NOT EXISTS (SELECT 1 FROM SkillAttribute WHERE code = 'D496') 
AND SCHEMA() IN ('alura', 'aluraproduction');
SET @skill_attribute_D496_id = (SELECT id FROM SkillAttribute WHERE code = 'D496');
INSERT INTO Skill_SkillAttribute(skill_id, skill_attribute_id) 
SELECT @skill_EF07CO04_id, @skill_attribute_D496_id WHERE SCHEMA() IN ('alura', 'aluraproduction');</v>
      </c>
    </row>
    <row r="169" spans="1:4" ht="15" customHeight="1">
      <c r="A169" s="20" t="s">
        <v>507</v>
      </c>
      <c r="B169" s="15" t="s">
        <v>508</v>
      </c>
      <c r="C169" s="16" t="s">
        <v>64</v>
      </c>
      <c r="D169" s="36" t="str">
        <f t="shared" si="2"/>
        <v>INSERT INTO SkillAttribute(code, title) 
SELECT 'D497', 'Identificar diferentes formas de representar um grafo.' 
WHERE NOT EXISTS (SELECT 1 FROM SkillAttribute WHERE code = 'D497') 
AND SCHEMA() IN ('alura', 'aluraproduction');
SET @skill_attribute_D497_id = (SELECT id FROM SkillAttribute WHERE code = 'D497');
INSERT INTO Skill_SkillAttribute(skill_id, skill_attribute_id) 
SELECT @skill_EF07CO04_id, @skill_attribute_D497_id WHERE SCHEMA() IN ('alura', 'aluraproduction');</v>
      </c>
    </row>
    <row r="170" spans="1:4" ht="15" customHeight="1">
      <c r="A170" s="20" t="s">
        <v>509</v>
      </c>
      <c r="B170" s="15" t="s">
        <v>510</v>
      </c>
      <c r="C170" s="16" t="s">
        <v>64</v>
      </c>
      <c r="D170" s="36" t="str">
        <f t="shared" si="2"/>
        <v>INSERT INTO SkillAttribute(code, title) 
SELECT 'D498', 'Compreender como um grafo pode ser descrito visual ou tabularmente.' 
WHERE NOT EXISTS (SELECT 1 FROM SkillAttribute WHERE code = 'D498') 
AND SCHEMA() IN ('alura', 'aluraproduction');
SET @skill_attribute_D498_id = (SELECT id FROM SkillAttribute WHERE code = 'D498');
INSERT INTO Skill_SkillAttribute(skill_id, skill_attribute_id) 
SELECT @skill_EF07CO04_id, @skill_attribute_D498_id WHERE SCHEMA() IN ('alura', 'aluraproduction');</v>
      </c>
    </row>
    <row r="171" spans="1:4" ht="15" customHeight="1">
      <c r="A171" s="20" t="s">
        <v>511</v>
      </c>
      <c r="B171" s="15" t="s">
        <v>512</v>
      </c>
      <c r="C171" s="16" t="s">
        <v>64</v>
      </c>
      <c r="D171" s="36" t="str">
        <f t="shared" si="2"/>
        <v>INSERT INTO SkillAttribute(code, title) 
SELECT 'D499', 'Analisar representações equivalentes de um mesmo grafo.' 
WHERE NOT EXISTS (SELECT 1 FROM SkillAttribute WHERE code = 'D499') 
AND SCHEMA() IN ('alura', 'aluraproduction');
SET @skill_attribute_D499_id = (SELECT id FROM SkillAttribute WHERE code = 'D499');
INSERT INTO Skill_SkillAttribute(skill_id, skill_attribute_id) 
SELECT @skill_EF07CO04_id, @skill_attribute_D499_id WHERE SCHEMA() IN ('alura', 'aluraproduction');</v>
      </c>
    </row>
    <row r="172" spans="1:4" ht="15" customHeight="1">
      <c r="A172" s="19" t="s">
        <v>513</v>
      </c>
      <c r="B172" s="14" t="s">
        <v>514</v>
      </c>
      <c r="C172" s="16" t="s">
        <v>66</v>
      </c>
      <c r="D172" s="36" t="str">
        <f t="shared" si="2"/>
        <v>INSERT INTO SkillAttribute(code, title) 
SELECT 'D98', 'Reconhecer o uso da decomposição na estrutura de um algoritmo.' 
WHERE NOT EXISTS (SELECT 1 FROM SkillAttribute WHERE code = 'D98') 
AND SCHEMA() IN ('alura', 'aluraproduction');
SET @skill_attribute_D98_id = (SELECT id FROM SkillAttribute WHERE code = 'D98');
INSERT INTO Skill_SkillAttribute(skill_id, skill_attribute_id) 
SELECT @skill_EF07CO05_id, @skill_attribute_D98_id WHERE SCHEMA() IN ('alura', 'aluraproduction');</v>
      </c>
    </row>
    <row r="173" spans="1:4" ht="15" customHeight="1">
      <c r="A173" s="19" t="s">
        <v>515</v>
      </c>
      <c r="B173" s="14" t="s">
        <v>516</v>
      </c>
      <c r="C173" s="16" t="s">
        <v>66</v>
      </c>
      <c r="D173" s="36" t="str">
        <f t="shared" si="2"/>
        <v>INSERT INTO SkillAttribute(code, title) 
SELECT 'D99', 'Identificar situações em que o reúso de código pode tornar a solução mais eficiente.' 
WHERE NOT EXISTS (SELECT 1 FROM SkillAttribute WHERE code = 'D99') 
AND SCHEMA() IN ('alura', 'aluraproduction');
SET @skill_attribute_D99_id = (SELECT id FROM SkillAttribute WHERE code = 'D99');
INSERT INTO Skill_SkillAttribute(skill_id, skill_attribute_id) 
SELECT @skill_EF07CO05_id, @skill_attribute_D99_id WHERE SCHEMA() IN ('alura', 'aluraproduction');</v>
      </c>
    </row>
    <row r="174" spans="1:4" ht="15" customHeight="1">
      <c r="A174" s="19" t="s">
        <v>517</v>
      </c>
      <c r="B174" s="14" t="s">
        <v>518</v>
      </c>
      <c r="C174" s="16" t="s">
        <v>66</v>
      </c>
      <c r="D174" s="36" t="str">
        <f t="shared" si="2"/>
        <v>INSERT INTO SkillAttribute(code, title) 
SELECT 'D100', 'Analisar os benefícios do reúso de blocos de código em uma solução automatizada.' 
WHERE NOT EXISTS (SELECT 1 FROM SkillAttribute WHERE code = 'D100') 
AND SCHEMA() IN ('alura', 'aluraproduction');
SET @skill_attribute_D100_id = (SELECT id FROM SkillAttribute WHERE code = 'D100');
INSERT INTO Skill_SkillAttribute(skill_id, skill_attribute_id) 
SELECT @skill_EF07CO05_id, @skill_attribute_D100_id WHERE SCHEMA() IN ('alura', 'aluraproduction');</v>
      </c>
    </row>
    <row r="175" spans="1:4" ht="15" customHeight="1">
      <c r="A175" s="19" t="s">
        <v>519</v>
      </c>
      <c r="B175" s="14" t="s">
        <v>520</v>
      </c>
      <c r="C175" s="16" t="s">
        <v>66</v>
      </c>
      <c r="D175" s="36" t="str">
        <f t="shared" si="2"/>
        <v>INSERT INTO SkillAttribute(code, title) 
SELECT 'D101', 'Relacionar estruturas de uma linguagem de programação à sua função em um algoritmo.' 
WHERE NOT EXISTS (SELECT 1 FROM SkillAttribute WHERE code = 'D101') 
AND SCHEMA() IN ('alura', 'aluraproduction');
SET @skill_attribute_D101_id = (SELECT id FROM SkillAttribute WHERE code = 'D101');
INSERT INTO Skill_SkillAttribute(skill_id, skill_attribute_id) 
SELECT @skill_EF07CO05_id, @skill_attribute_D101_id WHERE SCHEMA() IN ('alura', 'aluraproduction');</v>
      </c>
    </row>
    <row r="176" spans="1:4" ht="15" customHeight="1">
      <c r="A176" s="19" t="s">
        <v>521</v>
      </c>
      <c r="B176" s="14" t="s">
        <v>522</v>
      </c>
      <c r="C176" s="16" t="s">
        <v>66</v>
      </c>
      <c r="D176" s="36" t="str">
        <f t="shared" si="2"/>
        <v>INSERT INTO SkillAttribute(code, title) 
SELECT 'D102', 'Relacionar a modularização do algoritmo aos objetivos de cada parte da solução.' 
WHERE NOT EXISTS (SELECT 1 FROM SkillAttribute WHERE code = 'D102') 
AND SCHEMA() IN ('alura', 'aluraproduction');
SET @skill_attribute_D102_id = (SELECT id FROM SkillAttribute WHERE code = 'D102');
INSERT INTO Skill_SkillAttribute(skill_id, skill_attribute_id) 
SELECT @skill_EF07CO05_id, @skill_attribute_D102_id WHERE SCHEMA() IN ('alura', 'aluraproduction');</v>
      </c>
    </row>
    <row r="177" spans="1:4" ht="15" customHeight="1">
      <c r="A177" s="19" t="s">
        <v>523</v>
      </c>
      <c r="B177" s="14" t="s">
        <v>524</v>
      </c>
      <c r="C177" s="16" t="s">
        <v>66</v>
      </c>
      <c r="D177" s="36" t="str">
        <f t="shared" si="2"/>
        <v>INSERT INTO SkillAttribute(code, title) 
SELECT 'D103', 'Reconhecer como diferentes funções ou blocos de código podem ser desenvolvidos colaborativamente.' 
WHERE NOT EXISTS (SELECT 1 FROM SkillAttribute WHERE code = 'D103') 
AND SCHEMA() IN ('alura', 'aluraproduction');
SET @skill_attribute_D103_id = (SELECT id FROM SkillAttribute WHERE code = 'D103');
INSERT INTO Skill_SkillAttribute(skill_id, skill_attribute_id) 
SELECT @skill_EF07CO05_id, @skill_attribute_D103_id WHERE SCHEMA() IN ('alura', 'aluraproduction');</v>
      </c>
    </row>
    <row r="178" spans="1:4" ht="15" customHeight="1">
      <c r="A178" s="19" t="s">
        <v>525</v>
      </c>
      <c r="B178" s="14" t="s">
        <v>526</v>
      </c>
      <c r="C178" s="16" t="s">
        <v>68</v>
      </c>
      <c r="D178" s="36" t="str">
        <f t="shared" si="2"/>
        <v>INSERT INTO SkillAttribute(code, title) 
SELECT 'D172', 'Reconhecer que protocolos definem regras para a transmissão de dados em redes.' 
WHERE NOT EXISTS (SELECT 1 FROM SkillAttribute WHERE code = 'D172') 
AND SCHEMA() IN ('alura', 'aluraproduction');
SET @skill_attribute_D172_id = (SELECT id FROM SkillAttribute WHERE code = 'D172');
INSERT INTO Skill_SkillAttribute(skill_id, skill_attribute_id) 
SELECT @skill_EF07CO06_id, @skill_attribute_D172_id WHERE SCHEMA() IN ('alura', 'aluraproduction');</v>
      </c>
    </row>
    <row r="179" spans="1:4" ht="15" customHeight="1">
      <c r="A179" s="19" t="s">
        <v>527</v>
      </c>
      <c r="B179" s="14" t="s">
        <v>528</v>
      </c>
      <c r="C179" s="16" t="s">
        <v>68</v>
      </c>
      <c r="D179" s="36" t="str">
        <f t="shared" si="2"/>
        <v>INSERT INTO SkillAttribute(code, title) 
SELECT 'D173', 'Identificar exemplos de protocolos utilizados na comunicação digital.' 
WHERE NOT EXISTS (SELECT 1 FROM SkillAttribute WHERE code = 'D173') 
AND SCHEMA() IN ('alura', 'aluraproduction');
SET @skill_attribute_D173_id = (SELECT id FROM SkillAttribute WHERE code = 'D173');
INSERT INTO Skill_SkillAttribute(skill_id, skill_attribute_id) 
SELECT @skill_EF07CO06_id, @skill_attribute_D173_id WHERE SCHEMA() IN ('alura', 'aluraproduction');</v>
      </c>
    </row>
    <row r="180" spans="1:4" ht="15" customHeight="1">
      <c r="A180" s="19" t="s">
        <v>529</v>
      </c>
      <c r="B180" s="14" t="s">
        <v>530</v>
      </c>
      <c r="C180" s="16" t="s">
        <v>68</v>
      </c>
      <c r="D180" s="36" t="str">
        <f t="shared" si="2"/>
        <v>INSERT INTO SkillAttribute(code, title) 
SELECT 'D174', 'Compreender como os protocolos organizam o envio e o recebimento de dados entre dispositivos.' 
WHERE NOT EXISTS (SELECT 1 FROM SkillAttribute WHERE code = 'D174') 
AND SCHEMA() IN ('alura', 'aluraproduction');
SET @skill_attribute_D174_id = (SELECT id FROM SkillAttribute WHERE code = 'D174');
INSERT INTO Skill_SkillAttribute(skill_id, skill_attribute_id) 
SELECT @skill_EF07CO06_id, @skill_attribute_D174_id WHERE SCHEMA() IN ('alura', 'aluraproduction');</v>
      </c>
    </row>
    <row r="181" spans="1:4" ht="15" customHeight="1">
      <c r="A181" s="19" t="s">
        <v>531</v>
      </c>
      <c r="B181" s="14" t="s">
        <v>532</v>
      </c>
      <c r="C181" s="16" t="s">
        <v>68</v>
      </c>
      <c r="D181" s="36" t="str">
        <f t="shared" si="2"/>
        <v>INSERT INTO SkillAttribute(code, title) 
SELECT 'D175', 'Relacionar o uso de protocolos à confiabilidade na comunicação de dados.' 
WHERE NOT EXISTS (SELECT 1 FROM SkillAttribute WHERE code = 'D175') 
AND SCHEMA() IN ('alura', 'aluraproduction');
SET @skill_attribute_D175_id = (SELECT id FROM SkillAttribute WHERE code = 'D175');
INSERT INTO Skill_SkillAttribute(skill_id, skill_attribute_id) 
SELECT @skill_EF07CO06_id, @skill_attribute_D175_id WHERE SCHEMA() IN ('alura', 'aluraproduction');</v>
      </c>
    </row>
    <row r="182" spans="1:4" ht="15" customHeight="1">
      <c r="A182" s="19" t="s">
        <v>533</v>
      </c>
      <c r="B182" s="14" t="s">
        <v>534</v>
      </c>
      <c r="C182" s="16" t="s">
        <v>68</v>
      </c>
      <c r="D182" s="36" t="str">
        <f t="shared" si="2"/>
        <v>INSERT INTO SkillAttribute(code, title) 
SELECT 'D176', 'Analisar o papel dos protocolos na ordenação, entrega e integridade dos pacotes de dados.' 
WHERE NOT EXISTS (SELECT 1 FROM SkillAttribute WHERE code = 'D176') 
AND SCHEMA() IN ('alura', 'aluraproduction');
SET @skill_attribute_D176_id = (SELECT id FROM SkillAttribute WHERE code = 'D176');
INSERT INTO Skill_SkillAttribute(skill_id, skill_attribute_id) 
SELECT @skill_EF07CO06_id, @skill_attribute_D176_id WHERE SCHEMA() IN ('alura', 'aluraproduction');</v>
      </c>
    </row>
    <row r="183" spans="1:4" ht="15" customHeight="1">
      <c r="A183" s="19" t="s">
        <v>535</v>
      </c>
      <c r="B183" s="14" t="s">
        <v>536</v>
      </c>
      <c r="C183" s="16" t="s">
        <v>70</v>
      </c>
      <c r="D183" s="36" t="str">
        <f t="shared" si="2"/>
        <v>INSERT INTO SkillAttribute(code, title) 
SELECT 'D177', 'Reconhecer problemas de segurança cibernética.' 
WHERE NOT EXISTS (SELECT 1 FROM SkillAttribute WHERE code = 'D177') 
AND SCHEMA() IN ('alura', 'aluraproduction');
SET @skill_attribute_D177_id = (SELECT id FROM SkillAttribute WHERE code = 'D177');
INSERT INTO Skill_SkillAttribute(skill_id, skill_attribute_id) 
SELECT @skill_EF07CO07_id, @skill_attribute_D177_id WHERE SCHEMA() IN ('alura', 'aluraproduction');</v>
      </c>
    </row>
    <row r="184" spans="1:4" ht="15" customHeight="1">
      <c r="A184" s="19" t="s">
        <v>537</v>
      </c>
      <c r="B184" s="14" t="s">
        <v>538</v>
      </c>
      <c r="C184" s="16" t="s">
        <v>70</v>
      </c>
      <c r="D184" s="36" t="str">
        <f t="shared" si="2"/>
        <v>INSERT INTO SkillAttribute(code, title) 
SELECT 'D178', 'Analisar problemas de segurança cibernética.' 
WHERE NOT EXISTS (SELECT 1 FROM SkillAttribute WHERE code = 'D178') 
AND SCHEMA() IN ('alura', 'aluraproduction');
SET @skill_attribute_D178_id = (SELECT id FROM SkillAttribute WHERE code = 'D178');
INSERT INTO Skill_SkillAttribute(skill_id, skill_attribute_id) 
SELECT @skill_EF07CO07_id, @skill_attribute_D178_id WHERE SCHEMA() IN ('alura', 'aluraproduction');</v>
      </c>
    </row>
    <row r="185" spans="1:4" ht="15" customHeight="1">
      <c r="A185" s="19" t="s">
        <v>539</v>
      </c>
      <c r="B185" s="14" t="s">
        <v>540</v>
      </c>
      <c r="C185" s="16" t="s">
        <v>70</v>
      </c>
      <c r="D185" s="36" t="str">
        <f t="shared" si="2"/>
        <v>INSERT INTO SkillAttribute(code, title) 
SELECT 'D179', 'Identificar formas de proteção cibernética.' 
WHERE NOT EXISTS (SELECT 1 FROM SkillAttribute WHERE code = 'D179') 
AND SCHEMA() IN ('alura', 'aluraproduction');
SET @skill_attribute_D179_id = (SELECT id FROM SkillAttribute WHERE code = 'D179');
INSERT INTO Skill_SkillAttribute(skill_id, skill_attribute_id) 
SELECT @skill_EF07CO07_id, @skill_attribute_D179_id WHERE SCHEMA() IN ('alura', 'aluraproduction');</v>
      </c>
    </row>
    <row r="186" spans="1:4" ht="15" customHeight="1">
      <c r="A186" s="19" t="s">
        <v>541</v>
      </c>
      <c r="B186" s="14" t="s">
        <v>542</v>
      </c>
      <c r="C186" s="16" t="s">
        <v>70</v>
      </c>
      <c r="D186" s="36" t="str">
        <f t="shared" si="2"/>
        <v>INSERT INTO SkillAttribute(code, title) 
SELECT 'D180', 'Analisar formas de proteção cibernética.' 
WHERE NOT EXISTS (SELECT 1 FROM SkillAttribute WHERE code = 'D180') 
AND SCHEMA() IN ('alura', 'aluraproduction');
SET @skill_attribute_D180_id = (SELECT id FROM SkillAttribute WHERE code = 'D180');
INSERT INTO Skill_SkillAttribute(skill_id, skill_attribute_id) 
SELECT @skill_EF07CO07_id, @skill_attribute_D180_id WHERE SCHEMA() IN ('alura', 'aluraproduction');</v>
      </c>
    </row>
    <row r="187" spans="1:4" ht="15" customHeight="1">
      <c r="A187" s="19" t="s">
        <v>543</v>
      </c>
      <c r="B187" s="14" t="s">
        <v>544</v>
      </c>
      <c r="C187" s="16" t="s">
        <v>70</v>
      </c>
      <c r="D187" s="36" t="str">
        <f t="shared" si="2"/>
        <v>INSERT INTO SkillAttribute(code, title) 
SELECT 'D181', 'Reconhecer práticas inseguras em ambientes digitais.' 
WHERE NOT EXISTS (SELECT 1 FROM SkillAttribute WHERE code = 'D181') 
AND SCHEMA() IN ('alura', 'aluraproduction');
SET @skill_attribute_D181_id = (SELECT id FROM SkillAttribute WHERE code = 'D181');
INSERT INTO Skill_SkillAttribute(skill_id, skill_attribute_id) 
SELECT @skill_EF07CO07_id, @skill_attribute_D181_id WHERE SCHEMA() IN ('alura', 'aluraproduction');</v>
      </c>
    </row>
    <row r="188" spans="1:4" ht="15" customHeight="1">
      <c r="A188" s="19" t="s">
        <v>545</v>
      </c>
      <c r="B188" s="14" t="s">
        <v>546</v>
      </c>
      <c r="C188" s="16" t="s">
        <v>70</v>
      </c>
      <c r="D188" s="36" t="str">
        <f t="shared" si="2"/>
        <v>INSERT INTO SkillAttribute(code, title) 
SELECT 'D182', 'Relacionar problemas de segurança a suas possíveis causas ou consequências.' 
WHERE NOT EXISTS (SELECT 1 FROM SkillAttribute WHERE code = 'D182') 
AND SCHEMA() IN ('alura', 'aluraproduction');
SET @skill_attribute_D182_id = (SELECT id FROM SkillAttribute WHERE code = 'D182');
INSERT INTO Skill_SkillAttribute(skill_id, skill_attribute_id) 
SELECT @skill_EF07CO07_id, @skill_attribute_D182_id WHERE SCHEMA() IN ('alura', 'aluraproduction');</v>
      </c>
    </row>
    <row r="189" spans="1:4" ht="15" customHeight="1">
      <c r="A189" s="19" t="s">
        <v>547</v>
      </c>
      <c r="B189" s="14" t="s">
        <v>548</v>
      </c>
      <c r="C189" s="16" t="s">
        <v>70</v>
      </c>
      <c r="D189" s="36" t="str">
        <f t="shared" si="2"/>
        <v>INSERT INTO SkillAttribute(code, title) 
SELECT 'D183', 'Relacionar formas de proteção cibernética a tipos específicos de ameaça.' 
WHERE NOT EXISTS (SELECT 1 FROM SkillAttribute WHERE code = 'D183') 
AND SCHEMA() IN ('alura', 'aluraproduction');
SET @skill_attribute_D183_id = (SELECT id FROM SkillAttribute WHERE code = 'D183');
INSERT INTO Skill_SkillAttribute(skill_id, skill_attribute_id) 
SELECT @skill_EF07CO07_id, @skill_attribute_D183_id WHERE SCHEMA() IN ('alura', 'aluraproduction');</v>
      </c>
    </row>
    <row r="190" spans="1:4" ht="15" customHeight="1">
      <c r="A190" s="19" t="s">
        <v>549</v>
      </c>
      <c r="B190" s="14" t="s">
        <v>550</v>
      </c>
      <c r="C190" s="16" t="s">
        <v>70</v>
      </c>
      <c r="D190" s="36" t="str">
        <f t="shared" si="2"/>
        <v>INSERT INTO SkillAttribute(code, title) 
SELECT 'D184', 'Identificar comportamentos individuais que contribuem para a segurança digital.' 
WHERE NOT EXISTS (SELECT 1 FROM SkillAttribute WHERE code = 'D184') 
AND SCHEMA() IN ('alura', 'aluraproduction');
SET @skill_attribute_D184_id = (SELECT id FROM SkillAttribute WHERE code = 'D184');
INSERT INTO Skill_SkillAttribute(skill_id, skill_attribute_id) 
SELECT @skill_EF07CO07_id, @skill_attribute_D184_id WHERE SCHEMA() IN ('alura', 'aluraproduction');</v>
      </c>
    </row>
    <row r="191" spans="1:4" ht="15" customHeight="1">
      <c r="A191" s="19" t="s">
        <v>551</v>
      </c>
      <c r="B191" s="14" t="s">
        <v>552</v>
      </c>
      <c r="C191" s="16" t="s">
        <v>70</v>
      </c>
      <c r="D191" s="36" t="str">
        <f t="shared" si="2"/>
        <v>INSERT INTO SkillAttribute(code, title) 
SELECT 'D185', 'Analisar a adequação de uma forma de proteção a um determinado cenário digital.' 
WHERE NOT EXISTS (SELECT 1 FROM SkillAttribute WHERE code = 'D185') 
AND SCHEMA() IN ('alura', 'aluraproduction');
SET @skill_attribute_D185_id = (SELECT id FROM SkillAttribute WHERE code = 'D185');
INSERT INTO Skill_SkillAttribute(skill_id, skill_attribute_id) 
SELECT @skill_EF07CO07_id, @skill_attribute_D185_id WHERE SCHEMA() IN ('alura', 'aluraproduction');</v>
      </c>
    </row>
    <row r="192" spans="1:4" ht="15" customHeight="1">
      <c r="A192" s="19" t="s">
        <v>553</v>
      </c>
      <c r="B192" s="14" t="s">
        <v>554</v>
      </c>
      <c r="C192" s="16" t="s">
        <v>72</v>
      </c>
      <c r="D192" s="36" t="str">
        <f t="shared" si="2"/>
        <v>INSERT INTO SkillAttribute(code, title) 
SELECT 'D225', 'Reconhecer atitudes empáticas em interações online com opiniões divergentes.' 
WHERE NOT EXISTS (SELECT 1 FROM SkillAttribute WHERE code = 'D225') 
AND SCHEMA() IN ('alura', 'aluraproduction');
SET @skill_attribute_D225_id = (SELECT id FROM SkillAttribute WHERE code = 'D225');
INSERT INTO Skill_SkillAttribute(skill_id, skill_attribute_id) 
SELECT @skill_EF07CO08_id, @skill_attribute_D225_id WHERE SCHEMA() IN ('alura', 'aluraproduction');</v>
      </c>
    </row>
    <row r="193" spans="1:4" ht="15" customHeight="1">
      <c r="A193" s="19" t="s">
        <v>555</v>
      </c>
      <c r="B193" s="14" t="s">
        <v>556</v>
      </c>
      <c r="C193" s="16" t="s">
        <v>72</v>
      </c>
      <c r="D193" s="36" t="str">
        <f t="shared" si="2"/>
        <v>INSERT INTO SkillAttribute(code, title) 
SELECT 'D226', 'Identificar comportamentos respeitosos diante de opiniões diferentes em ambientes digitais.' 
WHERE NOT EXISTS (SELECT 1 FROM SkillAttribute WHERE code = 'D226') 
AND SCHEMA() IN ('alura', 'aluraproduction');
SET @skill_attribute_D226_id = (SELECT id FROM SkillAttribute WHERE code = 'D226');
INSERT INTO Skill_SkillAttribute(skill_id, skill_attribute_id) 
SELECT @skill_EF07CO08_id, @skill_attribute_D226_id WHERE SCHEMA() IN ('alura', 'aluraproduction');</v>
      </c>
    </row>
    <row r="194" spans="1:4" ht="15" customHeight="1">
      <c r="A194" s="19" t="s">
        <v>557</v>
      </c>
      <c r="B194" s="14" t="s">
        <v>558</v>
      </c>
      <c r="C194" s="16" t="s">
        <v>72</v>
      </c>
      <c r="D194" s="36" t="str">
        <f t="shared" si="2"/>
        <v>INSERT INTO SkillAttribute(code, title) 
SELECT 'D227', 'Analisar respostas a opiniões divergentes com base em princípios de respeito e empatia.' 
WHERE NOT EXISTS (SELECT 1 FROM SkillAttribute WHERE code = 'D227') 
AND SCHEMA() IN ('alura', 'aluraproduction');
SET @skill_attribute_D227_id = (SELECT id FROM SkillAttribute WHERE code = 'D227');
INSERT INTO Skill_SkillAttribute(skill_id, skill_attribute_id) 
SELECT @skill_EF07CO08_id, @skill_attribute_D227_id WHERE SCHEMA() IN ('alura', 'aluraproduction');</v>
      </c>
    </row>
    <row r="195" spans="1:4" ht="15" customHeight="1">
      <c r="A195" s="19" t="s">
        <v>559</v>
      </c>
      <c r="B195" s="14" t="s">
        <v>560</v>
      </c>
      <c r="C195" s="16" t="s">
        <v>72</v>
      </c>
      <c r="D195" s="36" t="str">
        <f t="shared" ref="D195:D258" si="3">"INSERT INTO SkillAttribute(code, title) " &amp; CHAR(10) &amp;
"SELECT '" &amp; A195 &amp; "', '" &amp; SUBSTITUTE(B195, "'", "''") &amp; "' " &amp; CHAR(10) &amp;
"WHERE NOT EXISTS (SELECT 1 FROM SkillAttribute WHERE code = '" &amp; A195 &amp; "') " &amp; CHAR(10) &amp;
"AND SCHEMA() IN ('alura', 'aluraproduction');" &amp;
CHAR(10) &amp; CHAR(10) &amp;
"SET @skill_attribute_" &amp; A195 &amp; "_id = (SELECT id FROM SkillAttribute WHERE code = '" &amp; A195 &amp; "');" &amp;
CHAR(10) &amp; CHAR(10) &amp;
"INSERT INTO Skill_SkillAttribute(skill_id, skill_attribute_id) " &amp; CHAR(10) &amp;
"SELECT @skill_" &amp; C195 &amp; "_id, @skill_attribute_" &amp; A195 &amp; "_id WHERE SCHEMA() IN ('alura', 'aluraproduction');"</f>
        <v>INSERT INTO SkillAttribute(code, title) 
SELECT 'D228', 'Relacionar o uso de linguagem respeitosa à demonstração de empatia em ambientes digitais.' 
WHERE NOT EXISTS (SELECT 1 FROM SkillAttribute WHERE code = 'D228') 
AND SCHEMA() IN ('alura', 'aluraproduction');
SET @skill_attribute_D228_id = (SELECT id FROM SkillAttribute WHERE code = 'D228');
INSERT INTO Skill_SkillAttribute(skill_id, skill_attribute_id) 
SELECT @skill_EF07CO08_id, @skill_attribute_D228_id WHERE SCHEMA() IN ('alura', 'aluraproduction');</v>
      </c>
    </row>
    <row r="196" spans="1:4" ht="15" customHeight="1">
      <c r="A196" s="19" t="s">
        <v>561</v>
      </c>
      <c r="B196" s="14" t="s">
        <v>562</v>
      </c>
      <c r="C196" s="16" t="s">
        <v>74</v>
      </c>
      <c r="D196" s="36" t="str">
        <f t="shared" si="3"/>
        <v>INSERT INTO SkillAttribute(code, title) 
SELECT 'D229', 'Compreender o conceito de cyberbullying.' 
WHERE NOT EXISTS (SELECT 1 FROM SkillAttribute WHERE code = 'D229') 
AND SCHEMA() IN ('alura', 'aluraproduction');
SET @skill_attribute_D229_id = (SELECT id FROM SkillAttribute WHERE code = 'D229');
INSERT INTO Skill_SkillAttribute(skill_id, skill_attribute_id) 
SELECT @skill_EF07CO09_id, @skill_attribute_D229_id WHERE SCHEMA() IN ('alura', 'aluraproduction');</v>
      </c>
    </row>
    <row r="197" spans="1:4" ht="15" customHeight="1">
      <c r="A197" s="19" t="s">
        <v>563</v>
      </c>
      <c r="B197" s="14" t="s">
        <v>564</v>
      </c>
      <c r="C197" s="16" t="s">
        <v>74</v>
      </c>
      <c r="D197" s="36" t="str">
        <f t="shared" si="3"/>
        <v>INSERT INTO SkillAttribute(code, title) 
SELECT 'D230', 'Identificar situações características de cyberbullying.' 
WHERE NOT EXISTS (SELECT 1 FROM SkillAttribute WHERE code = 'D230') 
AND SCHEMA() IN ('alura', 'aluraproduction');
SET @skill_attribute_D230_id = (SELECT id FROM SkillAttribute WHERE code = 'D230');
INSERT INTO Skill_SkillAttribute(skill_id, skill_attribute_id) 
SELECT @skill_EF07CO09_id, @skill_attribute_D230_id WHERE SCHEMA() IN ('alura', 'aluraproduction');</v>
      </c>
    </row>
    <row r="198" spans="1:4" ht="15" customHeight="1">
      <c r="A198" s="19" t="s">
        <v>565</v>
      </c>
      <c r="B198" s="14" t="s">
        <v>566</v>
      </c>
      <c r="C198" s="16" t="s">
        <v>74</v>
      </c>
      <c r="D198" s="36" t="str">
        <f t="shared" si="3"/>
        <v>INSERT INTO SkillAttribute(code, title) 
SELECT 'D231', 'Identificar práticas de combate ao cyberbullying.' 
WHERE NOT EXISTS (SELECT 1 FROM SkillAttribute WHERE code = 'D231') 
AND SCHEMA() IN ('alura', 'aluraproduction');
SET @skill_attribute_D231_id = (SELECT id FROM SkillAttribute WHERE code = 'D231');
INSERT INTO Skill_SkillAttribute(skill_id, skill_attribute_id) 
SELECT @skill_EF07CO09_id, @skill_attribute_D231_id WHERE SCHEMA() IN ('alura', 'aluraproduction');</v>
      </c>
    </row>
    <row r="199" spans="1:4" ht="15" customHeight="1">
      <c r="A199" s="19" t="s">
        <v>567</v>
      </c>
      <c r="B199" s="14" t="s">
        <v>568</v>
      </c>
      <c r="C199" s="16" t="s">
        <v>74</v>
      </c>
      <c r="D199" s="36" t="str">
        <f t="shared" si="3"/>
        <v>INSERT INTO SkillAttribute(code, title) 
SELECT 'D232', 'Analisar práticas de combate ao cyberbullying.' 
WHERE NOT EXISTS (SELECT 1 FROM SkillAttribute WHERE code = 'D232') 
AND SCHEMA() IN ('alura', 'aluraproduction');
SET @skill_attribute_D232_id = (SELECT id FROM SkillAttribute WHERE code = 'D232');
INSERT INTO Skill_SkillAttribute(skill_id, skill_attribute_id) 
SELECT @skill_EF07CO09_id, @skill_attribute_D232_id WHERE SCHEMA() IN ('alura', 'aluraproduction');</v>
      </c>
    </row>
    <row r="200" spans="1:4" ht="15" customHeight="1">
      <c r="A200" s="19" t="s">
        <v>569</v>
      </c>
      <c r="B200" s="14" t="s">
        <v>570</v>
      </c>
      <c r="C200" s="16" t="s">
        <v>74</v>
      </c>
      <c r="D200" s="36" t="str">
        <f t="shared" si="3"/>
        <v>INSERT INTO SkillAttribute(code, title) 
SELECT 'D233', 'Reconhecer consequências do cyberbullying para as vítimas.' 
WHERE NOT EXISTS (SELECT 1 FROM SkillAttribute WHERE code = 'D233') 
AND SCHEMA() IN ('alura', 'aluraproduction');
SET @skill_attribute_D233_id = (SELECT id FROM SkillAttribute WHERE code = 'D233');
INSERT INTO Skill_SkillAttribute(skill_id, skill_attribute_id) 
SELECT @skill_EF07CO09_id, @skill_attribute_D233_id WHERE SCHEMA() IN ('alura', 'aluraproduction');</v>
      </c>
    </row>
    <row r="201" spans="1:4" ht="15" customHeight="1">
      <c r="A201" s="19" t="s">
        <v>571</v>
      </c>
      <c r="B201" s="14" t="s">
        <v>572</v>
      </c>
      <c r="C201" s="16" t="s">
        <v>74</v>
      </c>
      <c r="D201" s="36" t="str">
        <f t="shared" si="3"/>
        <v>INSERT INTO SkillAttribute(code, title) 
SELECT 'D234', 'Diferenciar cyberbullying de outras formas de conflito ou brincadeira online.' 
WHERE NOT EXISTS (SELECT 1 FROM SkillAttribute WHERE code = 'D234') 
AND SCHEMA() IN ('alura', 'aluraproduction');
SET @skill_attribute_D234_id = (SELECT id FROM SkillAttribute WHERE code = 'D234');
INSERT INTO Skill_SkillAttribute(skill_id, skill_attribute_id) 
SELECT @skill_EF07CO09_id, @skill_attribute_D234_id WHERE SCHEMA() IN ('alura', 'aluraproduction');</v>
      </c>
    </row>
    <row r="202" spans="1:4" ht="15" customHeight="1">
      <c r="A202" s="19" t="s">
        <v>573</v>
      </c>
      <c r="B202" s="14" t="s">
        <v>574</v>
      </c>
      <c r="C202" s="16" t="s">
        <v>74</v>
      </c>
      <c r="D202" s="36" t="str">
        <f t="shared" si="3"/>
        <v>INSERT INTO SkillAttribute(code, title) 
SELECT 'D235', 'Relacionar comportamentos online a atitudes que configuram ou evitam o cyberbullying.' 
WHERE NOT EXISTS (SELECT 1 FROM SkillAttribute WHERE code = 'D235') 
AND SCHEMA() IN ('alura', 'aluraproduction');
SET @skill_attribute_D235_id = (SELECT id FROM SkillAttribute WHERE code = 'D235');
INSERT INTO Skill_SkillAttribute(skill_id, skill_attribute_id) 
SELECT @skill_EF07CO09_id, @skill_attribute_D235_id WHERE SCHEMA() IN ('alura', 'aluraproduction');</v>
      </c>
    </row>
    <row r="203" spans="1:4" ht="15" customHeight="1">
      <c r="A203" s="19" t="s">
        <v>575</v>
      </c>
      <c r="B203" s="14" t="s">
        <v>576</v>
      </c>
      <c r="C203" s="16" t="s">
        <v>74</v>
      </c>
      <c r="D203" s="36" t="str">
        <f t="shared" si="3"/>
        <v>INSERT INTO SkillAttribute(code, title) 
SELECT 'D236', 'Reconhecer o papel de testemunhas e observadores em situações de cyberbullying.' 
WHERE NOT EXISTS (SELECT 1 FROM SkillAttribute WHERE code = 'D236') 
AND SCHEMA() IN ('alura', 'aluraproduction');
SET @skill_attribute_D236_id = (SELECT id FROM SkillAttribute WHERE code = 'D236');
INSERT INTO Skill_SkillAttribute(skill_id, skill_attribute_id) 
SELECT @skill_EF07CO09_id, @skill_attribute_D236_id WHERE SCHEMA() IN ('alura', 'aluraproduction');</v>
      </c>
    </row>
    <row r="204" spans="1:4" ht="15" customHeight="1">
      <c r="A204" s="19" t="s">
        <v>577</v>
      </c>
      <c r="B204" s="13" t="s">
        <v>578</v>
      </c>
      <c r="C204" s="16" t="s">
        <v>76</v>
      </c>
      <c r="D204" s="36" t="str">
        <f t="shared" si="3"/>
        <v>INSERT INTO SkillAttribute(code, title) 
SELECT 'D237', 'Identificar problemas ambientais resultantes do descarte inadequado de eletrônicos.' 
WHERE NOT EXISTS (SELECT 1 FROM SkillAttribute WHERE code = 'D237') 
AND SCHEMA() IN ('alura', 'aluraproduction');
SET @skill_attribute_D237_id = (SELECT id FROM SkillAttribute WHERE code = 'D237');
INSERT INTO Skill_SkillAttribute(skill_id, skill_attribute_id) 
SELECT @skill_EF07CO10_id, @skill_attribute_D237_id WHERE SCHEMA() IN ('alura', 'aluraproduction');</v>
      </c>
    </row>
    <row r="205" spans="1:4" ht="15" customHeight="1">
      <c r="A205" s="19" t="s">
        <v>579</v>
      </c>
      <c r="B205" s="13" t="s">
        <v>580</v>
      </c>
      <c r="C205" s="16" t="s">
        <v>76</v>
      </c>
      <c r="D205" s="36" t="str">
        <f t="shared" si="3"/>
        <v>INSERT INTO SkillAttribute(code, title) 
SELECT 'D238', 'Analisar consequências ambientais do descarte inadequado de equipamentos eletrônicos.' 
WHERE NOT EXISTS (SELECT 1 FROM SkillAttribute WHERE code = 'D238') 
AND SCHEMA() IN ('alura', 'aluraproduction');
SET @skill_attribute_D238_id = (SELECT id FROM SkillAttribute WHERE code = 'D238');
INSERT INTO Skill_SkillAttribute(skill_id, skill_attribute_id) 
SELECT @skill_EF07CO10_id, @skill_attribute_D238_id WHERE SCHEMA() IN ('alura', 'aluraproduction');</v>
      </c>
    </row>
    <row r="206" spans="1:4" ht="15" customHeight="1">
      <c r="A206" s="19" t="s">
        <v>581</v>
      </c>
      <c r="B206" s="13" t="s">
        <v>582</v>
      </c>
      <c r="C206" s="16" t="s">
        <v>76</v>
      </c>
      <c r="D206" s="36" t="str">
        <f t="shared" si="3"/>
        <v>INSERT INTO SkillAttribute(code, title) 
SELECT 'D239', 'Analisar práticas sustentáveis de descarte de eletrônicos.' 
WHERE NOT EXISTS (SELECT 1 FROM SkillAttribute WHERE code = 'D239') 
AND SCHEMA() IN ('alura', 'aluraproduction');
SET @skill_attribute_D239_id = (SELECT id FROM SkillAttribute WHERE code = 'D239');
INSERT INTO Skill_SkillAttribute(skill_id, skill_attribute_id) 
SELECT @skill_EF07CO10_id, @skill_attribute_D239_id WHERE SCHEMA() IN ('alura', 'aluraproduction');</v>
      </c>
    </row>
    <row r="207" spans="1:4" ht="15" customHeight="1">
      <c r="A207" s="19" t="s">
        <v>583</v>
      </c>
      <c r="B207" s="13" t="s">
        <v>584</v>
      </c>
      <c r="C207" s="16" t="s">
        <v>76</v>
      </c>
      <c r="D207" s="36" t="str">
        <f t="shared" si="3"/>
        <v>INSERT INTO SkillAttribute(code, title) 
SELECT 'D240', 'Reconhecer materiais presentes em eletrônicos que podem causar danos ao meio ambiente.' 
WHERE NOT EXISTS (SELECT 1 FROM SkillAttribute WHERE code = 'D240') 
AND SCHEMA() IN ('alura', 'aluraproduction');
SET @skill_attribute_D240_id = (SELECT id FROM SkillAttribute WHERE code = 'D240');
INSERT INTO Skill_SkillAttribute(skill_id, skill_attribute_id) 
SELECT @skill_EF07CO10_id, @skill_attribute_D240_id WHERE SCHEMA() IN ('alura', 'aluraproduction');</v>
      </c>
    </row>
    <row r="208" spans="1:4" ht="15" customHeight="1">
      <c r="A208" s="19" t="s">
        <v>585</v>
      </c>
      <c r="B208" s="13" t="s">
        <v>586</v>
      </c>
      <c r="C208" s="16" t="s">
        <v>76</v>
      </c>
      <c r="D208" s="36" t="str">
        <f t="shared" si="3"/>
        <v>INSERT INTO SkillAttribute(code, title) 
SELECT 'D241', 'Relacionar o descarte inadequado de eletrônicos a problemas ambientais específicos.' 
WHERE NOT EXISTS (SELECT 1 FROM SkillAttribute WHERE code = 'D241') 
AND SCHEMA() IN ('alura', 'aluraproduction');
SET @skill_attribute_D241_id = (SELECT id FROM SkillAttribute WHERE code = 'D241');
INSERT INTO Skill_SkillAttribute(skill_id, skill_attribute_id) 
SELECT @skill_EF07CO10_id, @skill_attribute_D241_id WHERE SCHEMA() IN ('alura', 'aluraproduction');</v>
      </c>
    </row>
    <row r="209" spans="1:4" ht="15" customHeight="1">
      <c r="A209" s="19" t="s">
        <v>587</v>
      </c>
      <c r="B209" s="13" t="s">
        <v>588</v>
      </c>
      <c r="C209" s="16" t="s">
        <v>76</v>
      </c>
      <c r="D209" s="36" t="str">
        <f t="shared" si="3"/>
        <v>INSERT INTO SkillAttribute(code, title) 
SELECT 'D242', 'Identificar formas de reaproveitamento ou reuso de equipamentos eletrônicos.' 
WHERE NOT EXISTS (SELECT 1 FROM SkillAttribute WHERE code = 'D242') 
AND SCHEMA() IN ('alura', 'aluraproduction');
SET @skill_attribute_D242_id = (SELECT id FROM SkillAttribute WHERE code = 'D242');
INSERT INTO Skill_SkillAttribute(skill_id, skill_attribute_id) 
SELECT @skill_EF07CO10_id, @skill_attribute_D242_id WHERE SCHEMA() IN ('alura', 'aluraproduction');</v>
      </c>
    </row>
    <row r="210" spans="1:4" ht="15" customHeight="1">
      <c r="A210" s="19" t="s">
        <v>589</v>
      </c>
      <c r="B210" s="13" t="s">
        <v>590</v>
      </c>
      <c r="C210" s="16" t="s">
        <v>76</v>
      </c>
      <c r="D210" s="36" t="str">
        <f t="shared" si="3"/>
        <v>INSERT INTO SkillAttribute(code, title) 
SELECT 'D243', 'Reconhecer a importância da destinação correta do lixo eletrônico para a preservação ambiental.' 
WHERE NOT EXISTS (SELECT 1 FROM SkillAttribute WHERE code = 'D243') 
AND SCHEMA() IN ('alura', 'aluraproduction');
SET @skill_attribute_D243_id = (SELECT id FROM SkillAttribute WHERE code = 'D243');
INSERT INTO Skill_SkillAttribute(skill_id, skill_attribute_id) 
SELECT @skill_EF07CO10_id, @skill_attribute_D243_id WHERE SCHEMA() IN ('alura', 'aluraproduction');</v>
      </c>
    </row>
    <row r="211" spans="1:4" ht="15" customHeight="1">
      <c r="A211" s="19" t="s">
        <v>591</v>
      </c>
      <c r="B211" s="14" t="s">
        <v>592</v>
      </c>
      <c r="C211" s="16" t="s">
        <v>78</v>
      </c>
      <c r="D211" s="36" t="str">
        <f t="shared" si="3"/>
        <v>INSERT INTO SkillAttribute(code, title) 
SELECT 'D244', 'Identificar diferentes tipos de produtos tecnológicos.' 
WHERE NOT EXISTS (SELECT 1 FROM SkillAttribute WHERE code = 'D244') 
AND SCHEMA() IN ('alura', 'aluraproduction');
SET @skill_attribute_D244_id = (SELECT id FROM SkillAttribute WHERE code = 'D244');
INSERT INTO Skill_SkillAttribute(skill_id, skill_attribute_id) 
SELECT @skill_EF07CO11_id, @skill_attribute_D244_id WHERE SCHEMA() IN ('alura', 'aluraproduction');</v>
      </c>
    </row>
    <row r="212" spans="1:4" ht="15" customHeight="1">
      <c r="A212" s="19" t="s">
        <v>593</v>
      </c>
      <c r="B212" s="14" t="s">
        <v>594</v>
      </c>
      <c r="C212" s="16" t="s">
        <v>78</v>
      </c>
      <c r="D212" s="36" t="str">
        <f t="shared" si="3"/>
        <v>INSERT INTO SkillAttribute(code, title) 
SELECT 'D245', 'Relacionar tipos de produtos digitais às suas finalidades ou contextos de uso.' 
WHERE NOT EXISTS (SELECT 1 FROM SkillAttribute WHERE code = 'D245') 
AND SCHEMA() IN ('alura', 'aluraproduction');
SET @skill_attribute_D245_id = (SELECT id FROM SkillAttribute WHERE code = 'D245');
INSERT INTO Skill_SkillAttribute(skill_id, skill_attribute_id) 
SELECT @skill_EF07CO11_id, @skill_attribute_D245_id WHERE SCHEMA() IN ('alura', 'aluraproduction');</v>
      </c>
    </row>
    <row r="213" spans="1:4" ht="15" customHeight="1">
      <c r="A213" s="19" t="s">
        <v>595</v>
      </c>
      <c r="B213" s="14" t="s">
        <v>596</v>
      </c>
      <c r="C213" s="16" t="s">
        <v>78</v>
      </c>
      <c r="D213" s="36" t="str">
        <f t="shared" si="3"/>
        <v>INSERT INTO SkillAttribute(code, title) 
SELECT 'D246', 'Relacionar os tipos de produtos às possibilidades de uso de recursos tecnológicos.' 
WHERE NOT EXISTS (SELECT 1 FROM SkillAttribute WHERE code = 'D246') 
AND SCHEMA() IN ('alura', 'aluraproduction');
SET @skill_attribute_D246_id = (SELECT id FROM SkillAttribute WHERE code = 'D246');
INSERT INTO Skill_SkillAttribute(skill_id, skill_attribute_id) 
SELECT @skill_EF07CO11_id, @skill_attribute_D246_id WHERE SCHEMA() IN ('alura', 'aluraproduction');</v>
      </c>
    </row>
    <row r="214" spans="1:4" ht="15" customHeight="1">
      <c r="A214" s="19" t="s">
        <v>597</v>
      </c>
      <c r="B214" s="14" t="s">
        <v>598</v>
      </c>
      <c r="C214" s="16" t="s">
        <v>78</v>
      </c>
      <c r="D214" s="36" t="str">
        <f t="shared" si="3"/>
        <v>INSERT INTO SkillAttribute(code, title) 
SELECT 'D247', 'Identificar elementos de planejamento de um produto digital (como roteiro, estrutura ou tópicos principais).' 
WHERE NOT EXISTS (SELECT 1 FROM SkillAttribute WHERE code = 'D247') 
AND SCHEMA() IN ('alura', 'aluraproduction');
SET @skill_attribute_D247_id = (SELECT id FROM SkillAttribute WHERE code = 'D247');
INSERT INTO Skill_SkillAttribute(skill_id, skill_attribute_id) 
SELECT @skill_EF07CO11_id, @skill_attribute_D247_id WHERE SCHEMA() IN ('alura', 'aluraproduction');</v>
      </c>
    </row>
    <row r="215" spans="1:4" ht="15" customHeight="1">
      <c r="A215" s="19" t="s">
        <v>599</v>
      </c>
      <c r="B215" s="14" t="s">
        <v>600</v>
      </c>
      <c r="C215" s="16" t="s">
        <v>78</v>
      </c>
      <c r="D215" s="36" t="str">
        <f t="shared" si="3"/>
        <v>INSERT INTO SkillAttribute(code, title) 
SELECT 'D248', 'Relacionar partes de um documento (roteiro, mapa do site, storyboard) à execução do produto final.' 
WHERE NOT EXISTS (SELECT 1 FROM SkillAttribute WHERE code = 'D248') 
AND SCHEMA() IN ('alura', 'aluraproduction');
SET @skill_attribute_D248_id = (SELECT id FROM SkillAttribute WHERE code = 'D248');
INSERT INTO Skill_SkillAttribute(skill_id, skill_attribute_id) 
SELECT @skill_EF07CO11_id, @skill_attribute_D248_id WHERE SCHEMA() IN ('alura', 'aluraproduction');</v>
      </c>
    </row>
    <row r="216" spans="1:4" ht="15" customHeight="1">
      <c r="A216" s="19" t="s">
        <v>601</v>
      </c>
      <c r="B216" s="14" t="s">
        <v>602</v>
      </c>
      <c r="C216" s="16" t="s">
        <v>78</v>
      </c>
      <c r="D216" s="36" t="str">
        <f t="shared" si="3"/>
        <v>INSERT INTO SkillAttribute(code, title) 
SELECT 'D249', 'Reconhecer formas de publicação de produtos digitais em ambientes online.' 
WHERE NOT EXISTS (SELECT 1 FROM SkillAttribute WHERE code = 'D249') 
AND SCHEMA() IN ('alura', 'aluraproduction');
SET @skill_attribute_D249_id = (SELECT id FROM SkillAttribute WHERE code = 'D249');
INSERT INTO Skill_SkillAttribute(skill_id, skill_attribute_id) 
SELECT @skill_EF07CO11_id, @skill_attribute_D249_id WHERE SCHEMA() IN ('alura', 'aluraproduction');</v>
      </c>
    </row>
    <row r="217" spans="1:4" ht="15" customHeight="1">
      <c r="A217" s="19" t="s">
        <v>603</v>
      </c>
      <c r="B217" s="14" t="s">
        <v>604</v>
      </c>
      <c r="C217" s="16" t="s">
        <v>78</v>
      </c>
      <c r="D217" s="36" t="str">
        <f t="shared" si="3"/>
        <v>INSERT INTO SkillAttribute(code, title) 
SELECT 'D250', 'Identificar configurações básicas de privacidade e visibilidade em plataformas digitais.' 
WHERE NOT EXISTS (SELECT 1 FROM SkillAttribute WHERE code = 'D250') 
AND SCHEMA() IN ('alura', 'aluraproduction');
SET @skill_attribute_D250_id = (SELECT id FROM SkillAttribute WHERE code = 'D250');
INSERT INTO Skill_SkillAttribute(skill_id, skill_attribute_id) 
SELECT @skill_EF07CO11_id, @skill_attribute_D250_id WHERE SCHEMA() IN ('alura', 'aluraproduction');</v>
      </c>
    </row>
    <row r="218" spans="1:4" ht="15" customHeight="1">
      <c r="A218" s="19" t="s">
        <v>605</v>
      </c>
      <c r="B218" s="14" t="s">
        <v>606</v>
      </c>
      <c r="C218" s="16" t="s">
        <v>78</v>
      </c>
      <c r="D218" s="36" t="str">
        <f t="shared" si="3"/>
        <v>INSERT INTO SkillAttribute(code, title) 
SELECT 'D251', 'Analisar o uso de recursos tecnológicos na criação de produtos.' 
WHERE NOT EXISTS (SELECT 1 FROM SkillAttribute WHERE code = 'D251') 
AND SCHEMA() IN ('alura', 'aluraproduction');
SET @skill_attribute_D251_id = (SELECT id FROM SkillAttribute WHERE code = 'D251');
INSERT INTO Skill_SkillAttribute(skill_id, skill_attribute_id) 
SELECT @skill_EF07CO11_id, @skill_attribute_D251_id WHERE SCHEMA() IN ('alura', 'aluraproduction');</v>
      </c>
    </row>
    <row r="219" spans="1:4" ht="15" customHeight="1">
      <c r="A219" s="19" t="s">
        <v>607</v>
      </c>
      <c r="B219" s="14" t="s">
        <v>608</v>
      </c>
      <c r="C219" s="16" t="s">
        <v>78</v>
      </c>
      <c r="D219" s="36" t="str">
        <f t="shared" si="3"/>
        <v>INSERT INTO SkillAttribute(code, title) 
SELECT 'D252', 'Reconhecer ferramentas tecnológicas que permitem colaboração na criação de produtos digitais.' 
WHERE NOT EXISTS (SELECT 1 FROM SkillAttribute WHERE code = 'D252') 
AND SCHEMA() IN ('alura', 'aluraproduction');
SET @skill_attribute_D252_id = (SELECT id FROM SkillAttribute WHERE code = 'D252');
INSERT INTO Skill_SkillAttribute(skill_id, skill_attribute_id) 
SELECT @skill_EF07CO11_id, @skill_attribute_D252_id WHERE SCHEMA() IN ('alura', 'aluraproduction');</v>
      </c>
    </row>
    <row r="220" spans="1:4" ht="15" customHeight="1">
      <c r="A220" s="19" t="s">
        <v>609</v>
      </c>
      <c r="B220" s="14" t="s">
        <v>610</v>
      </c>
      <c r="C220" s="16" t="s">
        <v>78</v>
      </c>
      <c r="D220" s="36" t="str">
        <f t="shared" si="3"/>
        <v>INSERT INTO SkillAttribute(code, title) 
SELECT 'D253', 'Identificar contribuições individuais e coletivas em um trabalho colaborativo com tecnologia.' 
WHERE NOT EXISTS (SELECT 1 FROM SkillAttribute WHERE code = 'D253') 
AND SCHEMA() IN ('alura', 'aluraproduction');
SET @skill_attribute_D253_id = (SELECT id FROM SkillAttribute WHERE code = 'D253');
INSERT INTO Skill_SkillAttribute(skill_id, skill_attribute_id) 
SELECT @skill_EF07CO11_id, @skill_attribute_D253_id WHERE SCHEMA() IN ('alura', 'aluraproduction');</v>
      </c>
    </row>
    <row r="221" spans="1:4" ht="15" customHeight="1">
      <c r="A221" s="19" t="s">
        <v>611</v>
      </c>
      <c r="B221" s="14" t="s">
        <v>612</v>
      </c>
      <c r="C221" s="16" t="s">
        <v>78</v>
      </c>
      <c r="D221" s="36" t="str">
        <f t="shared" si="3"/>
        <v>INSERT INTO SkillAttribute(code, title) 
SELECT 'D254', 'Analisar as vantagens do trabalho colaborativo no desenvolvimento de produtos digitais.' 
WHERE NOT EXISTS (SELECT 1 FROM SkillAttribute WHERE code = 'D254') 
AND SCHEMA() IN ('alura', 'aluraproduction');
SET @skill_attribute_D254_id = (SELECT id FROM SkillAttribute WHERE code = 'D254');
INSERT INTO Skill_SkillAttribute(skill_id, skill_attribute_id) 
SELECT @skill_EF07CO11_id, @skill_attribute_D254_id WHERE SCHEMA() IN ('alura', 'aluraproduction');</v>
      </c>
    </row>
    <row r="222" spans="1:4" ht="15" customHeight="1">
      <c r="A222" s="19" t="s">
        <v>613</v>
      </c>
      <c r="B222" s="14" t="s">
        <v>614</v>
      </c>
      <c r="C222" s="16" t="s">
        <v>80</v>
      </c>
      <c r="D222" s="36" t="str">
        <f t="shared" si="3"/>
        <v>INSERT INTO SkillAttribute(code, title) 
SELECT 'D104', 'Compreender a estrutura de um algoritmo recursivo.' 
WHERE NOT EXISTS (SELECT 1 FROM SkillAttribute WHERE code = 'D104') 
AND SCHEMA() IN ('alura', 'aluraproduction');
SET @skill_attribute_D104_id = (SELECT id FROM SkillAttribute WHERE code = 'D104');
INSERT INTO Skill_SkillAttribute(skill_id, skill_attribute_id) 
SELECT @skill_EF08CO01_id, @skill_attribute_D104_id WHERE SCHEMA() IN ('alura', 'aluraproduction');</v>
      </c>
    </row>
    <row r="223" spans="1:4" ht="15" customHeight="1">
      <c r="A223" s="19" t="s">
        <v>615</v>
      </c>
      <c r="B223" s="14" t="s">
        <v>616</v>
      </c>
      <c r="C223" s="16" t="s">
        <v>80</v>
      </c>
      <c r="D223" s="36" t="str">
        <f t="shared" si="3"/>
        <v>INSERT INTO SkillAttribute(code, title) 
SELECT 'D105', 'Reconhecer os elementos de base e chamada recursiva em uma função.' 
WHERE NOT EXISTS (SELECT 1 FROM SkillAttribute WHERE code = 'D105') 
AND SCHEMA() IN ('alura', 'aluraproduction');
SET @skill_attribute_D105_id = (SELECT id FROM SkillAttribute WHERE code = 'D105');
INSERT INTO Skill_SkillAttribute(skill_id, skill_attribute_id) 
SELECT @skill_EF08CO01_id, @skill_attribute_D105_id WHERE SCHEMA() IN ('alura', 'aluraproduction');</v>
      </c>
    </row>
    <row r="224" spans="1:4" ht="15" customHeight="1">
      <c r="A224" s="19" t="s">
        <v>617</v>
      </c>
      <c r="B224" s="14" t="s">
        <v>618</v>
      </c>
      <c r="C224" s="16" t="s">
        <v>80</v>
      </c>
      <c r="D224" s="36" t="str">
        <f t="shared" si="3"/>
        <v>INSERT INTO SkillAttribute(code, title) 
SELECT 'D106', 'Analisar o fluxo de execução de uma função recursiva.' 
WHERE NOT EXISTS (SELECT 1 FROM SkillAttribute WHERE code = 'D106') 
AND SCHEMA() IN ('alura', 'aluraproduction');
SET @skill_attribute_D106_id = (SELECT id FROM SkillAttribute WHERE code = 'D106');
INSERT INTO Skill_SkillAttribute(skill_id, skill_attribute_id) 
SELECT @skill_EF08CO01_id, @skill_attribute_D106_id WHERE SCHEMA() IN ('alura', 'aluraproduction');</v>
      </c>
    </row>
    <row r="225" spans="1:4" ht="15" customHeight="1">
      <c r="A225" s="19" t="s">
        <v>619</v>
      </c>
      <c r="B225" s="14" t="s">
        <v>620</v>
      </c>
      <c r="C225" s="16" t="s">
        <v>80</v>
      </c>
      <c r="D225" s="36" t="str">
        <f t="shared" si="3"/>
        <v>INSERT INTO SkillAttribute(code, title) 
SELECT 'D107', 'Identificar problemas que podem ser resolvidos de forma recursiva.' 
WHERE NOT EXISTS (SELECT 1 FROM SkillAttribute WHERE code = 'D107') 
AND SCHEMA() IN ('alura', 'aluraproduction');
SET @skill_attribute_D107_id = (SELECT id FROM SkillAttribute WHERE code = 'D107');
INSERT INTO Skill_SkillAttribute(skill_id, skill_attribute_id) 
SELECT @skill_EF08CO01_id, @skill_attribute_D107_id WHERE SCHEMA() IN ('alura', 'aluraproduction');</v>
      </c>
    </row>
    <row r="226" spans="1:4" ht="15" customHeight="1">
      <c r="A226" s="19" t="s">
        <v>621</v>
      </c>
      <c r="B226" s="14" t="s">
        <v>622</v>
      </c>
      <c r="C226" s="16" t="s">
        <v>80</v>
      </c>
      <c r="D226" s="36" t="str">
        <f t="shared" si="3"/>
        <v>INSERT INTO SkillAttribute(code, title) 
SELECT 'D108', 'Comparar uma solução recursiva com uma solução iterativa para o mesmo problema.' 
WHERE NOT EXISTS (SELECT 1 FROM SkillAttribute WHERE code = 'D108') 
AND SCHEMA() IN ('alura', 'aluraproduction');
SET @skill_attribute_D108_id = (SELECT id FROM SkillAttribute WHERE code = 'D108');
INSERT INTO Skill_SkillAttribute(skill_id, skill_attribute_id) 
SELECT @skill_EF08CO01_id, @skill_attribute_D108_id WHERE SCHEMA() IN ('alura', 'aluraproduction');</v>
      </c>
    </row>
    <row r="227" spans="1:4" ht="15" customHeight="1">
      <c r="A227" s="19" t="s">
        <v>623</v>
      </c>
      <c r="B227" s="14" t="s">
        <v>624</v>
      </c>
      <c r="C227" s="16" t="s">
        <v>82</v>
      </c>
      <c r="D227" s="36" t="str">
        <f t="shared" si="3"/>
        <v>INSERT INTO SkillAttribute(code, title) 
SELECT 'D109', 'Compreender o conceito de listas.' 
WHERE NOT EXISTS (SELECT 1 FROM SkillAttribute WHERE code = 'D109') 
AND SCHEMA() IN ('alura', 'aluraproduction');
SET @skill_attribute_D109_id = (SELECT id FROM SkillAttribute WHERE code = 'D109');
INSERT INTO Skill_SkillAttribute(skill_id, skill_attribute_id) 
SELECT @skill_EF08CO02_id, @skill_attribute_D109_id WHERE SCHEMA() IN ('alura', 'aluraproduction');</v>
      </c>
    </row>
    <row r="228" spans="1:4" ht="15" customHeight="1">
      <c r="A228" s="19" t="s">
        <v>625</v>
      </c>
      <c r="B228" s="14" t="s">
        <v>626</v>
      </c>
      <c r="C228" s="16" t="s">
        <v>82</v>
      </c>
      <c r="D228" s="36" t="str">
        <f t="shared" si="3"/>
        <v>INSERT INTO SkillAttribute(code, title) 
SELECT 'D110', 'Compreender o uso de listas para descrição de informações.' 
WHERE NOT EXISTS (SELECT 1 FROM SkillAttribute WHERE code = 'D110') 
AND SCHEMA() IN ('alura', 'aluraproduction');
SET @skill_attribute_D110_id = (SELECT id FROM SkillAttribute WHERE code = 'D110');
INSERT INTO Skill_SkillAttribute(skill_id, skill_attribute_id) 
SELECT @skill_EF08CO02_id, @skill_attribute_D110_id WHERE SCHEMA() IN ('alura', 'aluraproduction');</v>
      </c>
    </row>
    <row r="229" spans="1:4" ht="15" customHeight="1">
      <c r="A229" s="19" t="s">
        <v>627</v>
      </c>
      <c r="B229" s="14" t="s">
        <v>628</v>
      </c>
      <c r="C229" s="16" t="s">
        <v>82</v>
      </c>
      <c r="D229" s="36" t="str">
        <f t="shared" si="3"/>
        <v>INSERT INTO SkillAttribute(code, title) 
SELECT 'D111', 'Identificar operações básicas realizadas sobre listas (adição, remoção, acesso a elementos).' 
WHERE NOT EXISTS (SELECT 1 FROM SkillAttribute WHERE code = 'D111') 
AND SCHEMA() IN ('alura', 'aluraproduction');
SET @skill_attribute_D111_id = (SELECT id FROM SkillAttribute WHERE code = 'D111');
INSERT INTO Skill_SkillAttribute(skill_id, skill_attribute_id) 
SELECT @skill_EF08CO02_id, @skill_attribute_D111_id WHERE SCHEMA() IN ('alura', 'aluraproduction');</v>
      </c>
    </row>
    <row r="230" spans="1:4" ht="15" customHeight="1">
      <c r="A230" s="19" t="s">
        <v>629</v>
      </c>
      <c r="B230" s="14" t="s">
        <v>630</v>
      </c>
      <c r="C230" s="16" t="s">
        <v>82</v>
      </c>
      <c r="D230" s="36" t="str">
        <f t="shared" si="3"/>
        <v>INSERT INTO SkillAttribute(code, title) 
SELECT 'D112', 'Analisar se os dados apresentados são apropriados para serem organizados em uma lista.' 
WHERE NOT EXISTS (SELECT 1 FROM SkillAttribute WHERE code = 'D112') 
AND SCHEMA() IN ('alura', 'aluraproduction');
SET @skill_attribute_D112_id = (SELECT id FROM SkillAttribute WHERE code = 'D112');
INSERT INTO Skill_SkillAttribute(skill_id, skill_attribute_id) 
SELECT @skill_EF08CO02_id, @skill_attribute_D112_id WHERE SCHEMA() IN ('alura', 'aluraproduction');</v>
      </c>
    </row>
    <row r="231" spans="1:4" ht="15" customHeight="1">
      <c r="A231" s="19" t="s">
        <v>631</v>
      </c>
      <c r="B231" s="14" t="s">
        <v>632</v>
      </c>
      <c r="C231" s="16" t="s">
        <v>82</v>
      </c>
      <c r="D231" s="36" t="str">
        <f t="shared" si="3"/>
        <v>INSERT INTO SkillAttribute(code, title) 
SELECT 'D113', 'Analisar listas utilizadas para soluções de problemas.' 
WHERE NOT EXISTS (SELECT 1 FROM SkillAttribute WHERE code = 'D113') 
AND SCHEMA() IN ('alura', 'aluraproduction');
SET @skill_attribute_D113_id = (SELECT id FROM SkillAttribute WHERE code = 'D113');
INSERT INTO Skill_SkillAttribute(skill_id, skill_attribute_id) 
SELECT @skill_EF08CO02_id, @skill_attribute_D113_id WHERE SCHEMA() IN ('alura', 'aluraproduction');</v>
      </c>
    </row>
    <row r="232" spans="1:4" ht="15" customHeight="1">
      <c r="A232" s="19" t="s">
        <v>633</v>
      </c>
      <c r="B232" s="14" t="s">
        <v>634</v>
      </c>
      <c r="C232" s="16" t="s">
        <v>82</v>
      </c>
      <c r="D232" s="36" t="str">
        <f t="shared" si="3"/>
        <v>INSERT INTO SkillAttribute(code, title) 
SELECT 'D114', 'Identificar formas de soluções de problemas a partir do uso de listas.' 
WHERE NOT EXISTS (SELECT 1 FROM SkillAttribute WHERE code = 'D114') 
AND SCHEMA() IN ('alura', 'aluraproduction');
SET @skill_attribute_D114_id = (SELECT id FROM SkillAttribute WHERE code = 'D114');
INSERT INTO Skill_SkillAttribute(skill_id, skill_attribute_id) 
SELECT @skill_EF08CO02_id, @skill_attribute_D114_id WHERE SCHEMA() IN ('alura', 'aluraproduction');</v>
      </c>
    </row>
    <row r="233" spans="1:4" ht="15" customHeight="1">
      <c r="A233" s="19" t="s">
        <v>635</v>
      </c>
      <c r="B233" s="14" t="s">
        <v>636</v>
      </c>
      <c r="C233" s="16" t="s">
        <v>82</v>
      </c>
      <c r="D233" s="36" t="str">
        <f t="shared" si="3"/>
        <v>INSERT INTO SkillAttribute(code, title) 
SELECT 'D115', 'Compreender soluções de problemas adequadas para o uso de listas.' 
WHERE NOT EXISTS (SELECT 1 FROM SkillAttribute WHERE code = 'D115') 
AND SCHEMA() IN ('alura', 'aluraproduction');
SET @skill_attribute_D115_id = (SELECT id FROM SkillAttribute WHERE code = 'D115');
INSERT INTO Skill_SkillAttribute(skill_id, skill_attribute_id) 
SELECT @skill_EF08CO02_id, @skill_attribute_D115_id WHERE SCHEMA() IN ('alura', 'aluraproduction');</v>
      </c>
    </row>
    <row r="234" spans="1:4" ht="15" customHeight="1">
      <c r="A234" s="19" t="s">
        <v>637</v>
      </c>
      <c r="B234" s="14" t="s">
        <v>638</v>
      </c>
      <c r="C234" s="16" t="s">
        <v>82</v>
      </c>
      <c r="D234" s="36" t="str">
        <f t="shared" si="3"/>
        <v>INSERT INTO SkillAttribute(code, title) 
SELECT 'D116', 'Analisar soluções de problemas aplicados no uso de listas.' 
WHERE NOT EXISTS (SELECT 1 FROM SkillAttribute WHERE code = 'D116') 
AND SCHEMA() IN ('alura', 'aluraproduction');
SET @skill_attribute_D116_id = (SELECT id FROM SkillAttribute WHERE code = 'D116');
INSERT INTO Skill_SkillAttribute(skill_id, skill_attribute_id) 
SELECT @skill_EF08CO02_id, @skill_attribute_D116_id WHERE SCHEMA() IN ('alura', 'aluraproduction');</v>
      </c>
    </row>
    <row r="235" spans="1:4" ht="15" customHeight="1">
      <c r="A235" s="19" t="s">
        <v>639</v>
      </c>
      <c r="B235" s="14" t="s">
        <v>640</v>
      </c>
      <c r="C235" s="16" t="s">
        <v>82</v>
      </c>
      <c r="D235" s="36" t="str">
        <f t="shared" si="3"/>
        <v>INSERT INTO SkillAttribute(code, title) 
SELECT 'D117', 'Identificar formas de automatizar listas utilizando linguagem de programação.' 
WHERE NOT EXISTS (SELECT 1 FROM SkillAttribute WHERE code = 'D117') 
AND SCHEMA() IN ('alura', 'aluraproduction');
SET @skill_attribute_D117_id = (SELECT id FROM SkillAttribute WHERE code = 'D117');
INSERT INTO Skill_SkillAttribute(skill_id, skill_attribute_id) 
SELECT @skill_EF08CO02_id, @skill_attribute_D117_id WHERE SCHEMA() IN ('alura', 'aluraproduction');</v>
      </c>
    </row>
    <row r="236" spans="1:4" ht="15" customHeight="1">
      <c r="A236" s="19" t="s">
        <v>641</v>
      </c>
      <c r="B236" s="14" t="s">
        <v>642</v>
      </c>
      <c r="C236" s="16" t="s">
        <v>82</v>
      </c>
      <c r="D236" s="36" t="str">
        <f t="shared" si="3"/>
        <v>INSERT INTO SkillAttribute(code, title) 
SELECT 'D118', 'Compreender formas de automatizar listas utilizando linguagem de programação.' 
WHERE NOT EXISTS (SELECT 1 FROM SkillAttribute WHERE code = 'D118') 
AND SCHEMA() IN ('alura', 'aluraproduction');
SET @skill_attribute_D118_id = (SELECT id FROM SkillAttribute WHERE code = 'D118');
INSERT INTO Skill_SkillAttribute(skill_id, skill_attribute_id) 
SELECT @skill_EF08CO02_id, @skill_attribute_D118_id WHERE SCHEMA() IN ('alura', 'aluraproduction');</v>
      </c>
    </row>
    <row r="237" spans="1:4" ht="15" customHeight="1">
      <c r="A237" s="19" t="s">
        <v>643</v>
      </c>
      <c r="B237" s="14" t="s">
        <v>644</v>
      </c>
      <c r="C237" s="16" t="s">
        <v>82</v>
      </c>
      <c r="D237" s="36" t="str">
        <f t="shared" si="3"/>
        <v>INSERT INTO SkillAttribute(code, title) 
SELECT 'D119', 'Analisar automatizações de listas.' 
WHERE NOT EXISTS (SELECT 1 FROM SkillAttribute WHERE code = 'D119') 
AND SCHEMA() IN ('alura', 'aluraproduction');
SET @skill_attribute_D119_id = (SELECT id FROM SkillAttribute WHERE code = 'D119');
INSERT INTO Skill_SkillAttribute(skill_id, skill_attribute_id) 
SELECT @skill_EF08CO02_id, @skill_attribute_D119_id WHERE SCHEMA() IN ('alura', 'aluraproduction');</v>
      </c>
    </row>
    <row r="238" spans="1:4" ht="15" customHeight="1">
      <c r="A238" s="19" t="s">
        <v>645</v>
      </c>
      <c r="B238" s="14" t="s">
        <v>646</v>
      </c>
      <c r="C238" s="16" t="s">
        <v>82</v>
      </c>
      <c r="D238" s="36" t="str">
        <f t="shared" si="3"/>
        <v>INSERT INTO SkillAttribute(code, title) 
SELECT 'D120', 'Compreender o uso da técnica de recursão.' 
WHERE NOT EXISTS (SELECT 1 FROM SkillAttribute WHERE code = 'D120') 
AND SCHEMA() IN ('alura', 'aluraproduction');
SET @skill_attribute_D120_id = (SELECT id FROM SkillAttribute WHERE code = 'D120');
INSERT INTO Skill_SkillAttribute(skill_id, skill_attribute_id) 
SELECT @skill_EF08CO02_id, @skill_attribute_D120_id WHERE SCHEMA() IN ('alura', 'aluraproduction');</v>
      </c>
    </row>
    <row r="239" spans="1:4" ht="15" customHeight="1">
      <c r="A239" s="19" t="s">
        <v>647</v>
      </c>
      <c r="B239" s="14" t="s">
        <v>648</v>
      </c>
      <c r="C239" s="16" t="s">
        <v>82</v>
      </c>
      <c r="D239" s="36" t="str">
        <f t="shared" si="3"/>
        <v>INSERT INTO SkillAttribute(code, title) 
SELECT 'D121', 'Analisar o uso da técnica de recursão em soluções de problemas que utilizam listas.' 
WHERE NOT EXISTS (SELECT 1 FROM SkillAttribute WHERE code = 'D121') 
AND SCHEMA() IN ('alura', 'aluraproduction');
SET @skill_attribute_D121_id = (SELECT id FROM SkillAttribute WHERE code = 'D121');
INSERT INTO Skill_SkillAttribute(skill_id, skill_attribute_id) 
SELECT @skill_EF08CO02_id, @skill_attribute_D121_id WHERE SCHEMA() IN ('alura', 'aluraproduction');</v>
      </c>
    </row>
    <row r="240" spans="1:4" ht="15" customHeight="1">
      <c r="A240" s="19" t="s">
        <v>649</v>
      </c>
      <c r="B240" s="14" t="s">
        <v>650</v>
      </c>
      <c r="C240" s="16" t="s">
        <v>82</v>
      </c>
      <c r="D240" s="36" t="str">
        <f t="shared" si="3"/>
        <v>INSERT INTO SkillAttribute(code, title) 
SELECT 'D122', 'Diferenciar listas de outras estruturas, como matrizes ou registros.' 
WHERE NOT EXISTS (SELECT 1 FROM SkillAttribute WHERE code = 'D122') 
AND SCHEMA() IN ('alura', 'aluraproduction');
SET @skill_attribute_D122_id = (SELECT id FROM SkillAttribute WHERE code = 'D122');
INSERT INTO Skill_SkillAttribute(skill_id, skill_attribute_id) 
SELECT @skill_EF08CO02_id, @skill_attribute_D122_id WHERE SCHEMA() IN ('alura', 'aluraproduction');</v>
      </c>
    </row>
    <row r="241" spans="1:4" ht="15" customHeight="1">
      <c r="A241" s="19" t="s">
        <v>651</v>
      </c>
      <c r="B241" s="14" t="s">
        <v>652</v>
      </c>
      <c r="C241" s="16" t="s">
        <v>82</v>
      </c>
      <c r="D241" s="36" t="str">
        <f t="shared" si="3"/>
        <v>INSERT INTO SkillAttribute(code, title) 
SELECT 'D123', 'Relacionar operações realizadas sobre listas ao comportamento do programa.' 
WHERE NOT EXISTS (SELECT 1 FROM SkillAttribute WHERE code = 'D123') 
AND SCHEMA() IN ('alura', 'aluraproduction');
SET @skill_attribute_D123_id = (SELECT id FROM SkillAttribute WHERE code = 'D123');
INSERT INTO Skill_SkillAttribute(skill_id, skill_attribute_id) 
SELECT @skill_EF08CO02_id, @skill_attribute_D123_id WHERE SCHEMA() IN ('alura', 'aluraproduction');</v>
      </c>
    </row>
    <row r="242" spans="1:4" ht="15" customHeight="1">
      <c r="A242" s="19" t="s">
        <v>653</v>
      </c>
      <c r="B242" s="14" t="s">
        <v>654</v>
      </c>
      <c r="C242" s="16" t="s">
        <v>82</v>
      </c>
      <c r="D242" s="36" t="str">
        <f t="shared" si="3"/>
        <v>INSERT INTO SkillAttribute(code, title) 
SELECT 'D124', 'Compreender a lógica de percorrer listas por meio de laços ou recursão.' 
WHERE NOT EXISTS (SELECT 1 FROM SkillAttribute WHERE code = 'D124') 
AND SCHEMA() IN ('alura', 'aluraproduction');
SET @skill_attribute_D124_id = (SELECT id FROM SkillAttribute WHERE code = 'D124');
INSERT INTO Skill_SkillAttribute(skill_id, skill_attribute_id) 
SELECT @skill_EF08CO02_id, @skill_attribute_D124_id WHERE SCHEMA() IN ('alura', 'aluraproduction');</v>
      </c>
    </row>
    <row r="243" spans="1:4" ht="15" customHeight="1">
      <c r="A243" s="19" t="s">
        <v>655</v>
      </c>
      <c r="B243" s="14" t="s">
        <v>656</v>
      </c>
      <c r="C243" s="16" t="s">
        <v>84</v>
      </c>
      <c r="D243" s="36" t="str">
        <f t="shared" si="3"/>
        <v>INSERT INTO SkillAttribute(code, title) 
SELECT 'D125', 'Identificar algoritmos clássicos utilizados na manipulação de listas (como busca, ordenação e contagem).' 
WHERE NOT EXISTS (SELECT 1 FROM SkillAttribute WHERE code = 'D125') 
AND SCHEMA() IN ('alura', 'aluraproduction');
SET @skill_attribute_D125_id = (SELECT id FROM SkillAttribute WHERE code = 'D125');
INSERT INTO Skill_SkillAttribute(skill_id, skill_attribute_id) 
SELECT @skill_EF08CO03_id, @skill_attribute_D125_id WHERE SCHEMA() IN ('alura', 'aluraproduction');</v>
      </c>
    </row>
    <row r="244" spans="1:4" ht="15" customHeight="1">
      <c r="A244" s="19" t="s">
        <v>657</v>
      </c>
      <c r="B244" s="14" t="s">
        <v>658</v>
      </c>
      <c r="C244" s="16" t="s">
        <v>84</v>
      </c>
      <c r="D244" s="36" t="str">
        <f t="shared" si="3"/>
        <v>INSERT INTO SkillAttribute(code, title) 
SELECT 'D126', 'Compreender o funcionamento de algoritmos clássicos aplicados sobre listas.' 
WHERE NOT EXISTS (SELECT 1 FROM SkillAttribute WHERE code = 'D126') 
AND SCHEMA() IN ('alura', 'aluraproduction');
SET @skill_attribute_D126_id = (SELECT id FROM SkillAttribute WHERE code = 'D126');
INSERT INTO Skill_SkillAttribute(skill_id, skill_attribute_id) 
SELECT @skill_EF08CO03_id, @skill_attribute_D126_id WHERE SCHEMA() IN ('alura', 'aluraproduction');</v>
      </c>
    </row>
    <row r="245" spans="1:4" ht="15" customHeight="1">
      <c r="A245" s="19" t="s">
        <v>659</v>
      </c>
      <c r="B245" s="14" t="s">
        <v>660</v>
      </c>
      <c r="C245" s="16" t="s">
        <v>84</v>
      </c>
      <c r="D245" s="36" t="str">
        <f t="shared" si="3"/>
        <v>INSERT INTO SkillAttribute(code, title) 
SELECT 'D127', 'Analisar os efeitos de um algoritmo de manipulação sobre o conteúdo de uma lista.' 
WHERE NOT EXISTS (SELECT 1 FROM SkillAttribute WHERE code = 'D127') 
AND SCHEMA() IN ('alura', 'aluraproduction');
SET @skill_attribute_D127_id = (SELECT id FROM SkillAttribute WHERE code = 'D127');
INSERT INTO Skill_SkillAttribute(skill_id, skill_attribute_id) 
SELECT @skill_EF08CO03_id, @skill_attribute_D127_id WHERE SCHEMA() IN ('alura', 'aluraproduction');</v>
      </c>
    </row>
    <row r="246" spans="1:4" ht="15" customHeight="1">
      <c r="A246" s="19" t="s">
        <v>661</v>
      </c>
      <c r="B246" s="14" t="s">
        <v>662</v>
      </c>
      <c r="C246" s="16" t="s">
        <v>84</v>
      </c>
      <c r="D246" s="36" t="str">
        <f t="shared" si="3"/>
        <v>INSERT INTO SkillAttribute(code, title) 
SELECT 'D128', 'Relacionar o tipo de problema à escolha do algoritmo clássico mais adequado para manipulação da lista.' 
WHERE NOT EXISTS (SELECT 1 FROM SkillAttribute WHERE code = 'D128') 
AND SCHEMA() IN ('alura', 'aluraproduction');
SET @skill_attribute_D128_id = (SELECT id FROM SkillAttribute WHERE code = 'D128');
INSERT INTO Skill_SkillAttribute(skill_id, skill_attribute_id) 
SELECT @skill_EF08CO03_id, @skill_attribute_D128_id WHERE SCHEMA() IN ('alura', 'aluraproduction');</v>
      </c>
    </row>
    <row r="247" spans="1:4" ht="15" customHeight="1">
      <c r="A247" s="19" t="s">
        <v>663</v>
      </c>
      <c r="B247" s="14" t="s">
        <v>664</v>
      </c>
      <c r="C247" s="16" t="s">
        <v>84</v>
      </c>
      <c r="D247" s="36" t="str">
        <f t="shared" si="3"/>
        <v>INSERT INTO SkillAttribute(code, title) 
SELECT 'D129', 'Interpretar o comportamento de uma lista após aplicação de um algoritmo clássico.' 
WHERE NOT EXISTS (SELECT 1 FROM SkillAttribute WHERE code = 'D129') 
AND SCHEMA() IN ('alura', 'aluraproduction');
SET @skill_attribute_D129_id = (SELECT id FROM SkillAttribute WHERE code = 'D129');
INSERT INTO Skill_SkillAttribute(skill_id, skill_attribute_id) 
SELECT @skill_EF08CO03_id, @skill_attribute_D129_id WHERE SCHEMA() IN ('alura', 'aluraproduction');</v>
      </c>
    </row>
    <row r="248" spans="1:4" ht="15" customHeight="1">
      <c r="A248" s="19" t="s">
        <v>665</v>
      </c>
      <c r="B248" s="14" t="s">
        <v>666</v>
      </c>
      <c r="C248" s="16" t="s">
        <v>84</v>
      </c>
      <c r="D248" s="36" t="str">
        <f t="shared" si="3"/>
        <v>INSERT INTO SkillAttribute(code, title) 
SELECT 'D130', 'Comparar algoritmos de manipulação quanto à lógica de funcionamento ou à eficiência em um mesmo contexto.' 
WHERE NOT EXISTS (SELECT 1 FROM SkillAttribute WHERE code = 'D130') 
AND SCHEMA() IN ('alura', 'aluraproduction');
SET @skill_attribute_D130_id = (SELECT id FROM SkillAttribute WHERE code = 'D130');
INSERT INTO Skill_SkillAttribute(skill_id, skill_attribute_id) 
SELECT @skill_EF08CO03_id, @skill_attribute_D130_id WHERE SCHEMA() IN ('alura', 'aluraproduction');</v>
      </c>
    </row>
    <row r="249" spans="1:4" ht="15" customHeight="1">
      <c r="A249" s="19" t="s">
        <v>467</v>
      </c>
      <c r="B249" s="14" t="s">
        <v>468</v>
      </c>
      <c r="C249" s="16" t="s">
        <v>86</v>
      </c>
      <c r="D249" s="36" t="str">
        <f t="shared" si="3"/>
        <v>INSERT INTO SkillAttribute(code, title) 
SELECT 'D88', 'Identificar soluções computacionais de problemas de diferentes áreas do conhecimento.' 
WHERE NOT EXISTS (SELECT 1 FROM SkillAttribute WHERE code = 'D88') 
AND SCHEMA() IN ('alura', 'aluraproduction');
SET @skill_attribute_D88_id = (SELECT id FROM SkillAttribute WHERE code = 'D88');
INSERT INTO Skill_SkillAttribute(skill_id, skill_attribute_id) 
SELECT @skill_EF08CO04_id, @skill_attribute_D88_id WHERE SCHEMA() IN ('alura', 'aluraproduction');</v>
      </c>
    </row>
    <row r="250" spans="1:4" ht="15" customHeight="1">
      <c r="A250" s="19" t="s">
        <v>469</v>
      </c>
      <c r="B250" s="14" t="s">
        <v>470</v>
      </c>
      <c r="C250" s="16" t="s">
        <v>86</v>
      </c>
      <c r="D250" s="36" t="str">
        <f t="shared" si="3"/>
        <v>INSERT INTO SkillAttribute(code, title) 
SELECT 'D89', 'Analisar soluções computacionais de problemas de diferentes áreas do conhecimento.' 
WHERE NOT EXISTS (SELECT 1 FROM SkillAttribute WHERE code = 'D89') 
AND SCHEMA() IN ('alura', 'aluraproduction');
SET @skill_attribute_D89_id = (SELECT id FROM SkillAttribute WHERE code = 'D89');
INSERT INTO Skill_SkillAttribute(skill_id, skill_attribute_id) 
SELECT @skill_EF08CO04_id, @skill_attribute_D89_id WHERE SCHEMA() IN ('alura', 'aluraproduction');</v>
      </c>
    </row>
    <row r="251" spans="1:4" ht="15" customHeight="1">
      <c r="A251" s="19" t="s">
        <v>471</v>
      </c>
      <c r="B251" s="14" t="s">
        <v>472</v>
      </c>
      <c r="C251" s="16" t="s">
        <v>86</v>
      </c>
      <c r="D251" s="36" t="str">
        <f t="shared" si="3"/>
        <v>INSERT INTO SkillAttribute(code, title) 
SELECT 'D90', 'Reconhecer estruturas de dados.' 
WHERE NOT EXISTS (SELECT 1 FROM SkillAttribute WHERE code = 'D90') 
AND SCHEMA() IN ('alura', 'aluraproduction');
SET @skill_attribute_D90_id = (SELECT id FROM SkillAttribute WHERE code = 'D90');
INSERT INTO Skill_SkillAttribute(skill_id, skill_attribute_id) 
SELECT @skill_EF08CO04_id, @skill_attribute_D90_id WHERE SCHEMA() IN ('alura', 'aluraproduction');</v>
      </c>
    </row>
    <row r="252" spans="1:4" ht="15" customHeight="1">
      <c r="A252" s="19" t="s">
        <v>473</v>
      </c>
      <c r="B252" s="14" t="s">
        <v>474</v>
      </c>
      <c r="C252" s="16" t="s">
        <v>86</v>
      </c>
      <c r="D252" s="36" t="str">
        <f t="shared" si="3"/>
        <v>INSERT INTO SkillAttribute(code, title) 
SELECT 'D91', 'Analisar estruturas de dados.' 
WHERE NOT EXISTS (SELECT 1 FROM SkillAttribute WHERE code = 'D91') 
AND SCHEMA() IN ('alura', 'aluraproduction');
SET @skill_attribute_D91_id = (SELECT id FROM SkillAttribute WHERE code = 'D91');
INSERT INTO Skill_SkillAttribute(skill_id, skill_attribute_id) 
SELECT @skill_EF08CO04_id, @skill_attribute_D91_id WHERE SCHEMA() IN ('alura', 'aluraproduction');</v>
      </c>
    </row>
    <row r="253" spans="1:4" ht="15" customHeight="1">
      <c r="A253" s="19" t="s">
        <v>475</v>
      </c>
      <c r="B253" s="14" t="s">
        <v>476</v>
      </c>
      <c r="C253" s="16" t="s">
        <v>86</v>
      </c>
      <c r="D253" s="36" t="str">
        <f t="shared" si="3"/>
        <v>INSERT INTO SkillAttribute(code, title) 
SELECT 'D92', 'Identificar técnicas utilizadas em soluções computacionais.' 
WHERE NOT EXISTS (SELECT 1 FROM SkillAttribute WHERE code = 'D92') 
AND SCHEMA() IN ('alura', 'aluraproduction');
SET @skill_attribute_D92_id = (SELECT id FROM SkillAttribute WHERE code = 'D92');
INSERT INTO Skill_SkillAttribute(skill_id, skill_attribute_id) 
SELECT @skill_EF08CO04_id, @skill_attribute_D92_id WHERE SCHEMA() IN ('alura', 'aluraproduction');</v>
      </c>
    </row>
    <row r="254" spans="1:4" ht="15" customHeight="1">
      <c r="A254" s="19" t="s">
        <v>477</v>
      </c>
      <c r="B254" s="14" t="s">
        <v>478</v>
      </c>
      <c r="C254" s="16" t="s">
        <v>86</v>
      </c>
      <c r="D254" s="36" t="str">
        <f t="shared" si="3"/>
        <v>INSERT INTO SkillAttribute(code, title) 
SELECT 'D93', 'Interpretar técnicas utilizadas em soluções computacionais.' 
WHERE NOT EXISTS (SELECT 1 FROM SkillAttribute WHERE code = 'D93') 
AND SCHEMA() IN ('alura', 'aluraproduction');
SET @skill_attribute_D93_id = (SELECT id FROM SkillAttribute WHERE code = 'D93');
INSERT INTO Skill_SkillAttribute(skill_id, skill_attribute_id) 
SELECT @skill_EF08CO04_id, @skill_attribute_D93_id WHERE SCHEMA() IN ('alura', 'aluraproduction');</v>
      </c>
    </row>
    <row r="255" spans="1:4" ht="15" customHeight="1">
      <c r="A255" s="19" t="s">
        <v>479</v>
      </c>
      <c r="B255" s="14" t="s">
        <v>480</v>
      </c>
      <c r="C255" s="16" t="s">
        <v>86</v>
      </c>
      <c r="D255" s="36" t="str">
        <f t="shared" si="3"/>
        <v>INSERT INTO SkillAttribute(code, title) 
SELECT 'D94', 'Relacionar soluções computacionais aos saberes escolares.' 
WHERE NOT EXISTS (SELECT 1 FROM SkillAttribute WHERE code = 'D94') 
AND SCHEMA() IN ('alura', 'aluraproduction');
SET @skill_attribute_D94_id = (SELECT id FROM SkillAttribute WHERE code = 'D94');
INSERT INTO Skill_SkillAttribute(skill_id, skill_attribute_id) 
SELECT @skill_EF08CO04_id, @skill_attribute_D94_id WHERE SCHEMA() IN ('alura', 'aluraproduction');</v>
      </c>
    </row>
    <row r="256" spans="1:4" ht="15" customHeight="1">
      <c r="A256" s="19" t="s">
        <v>481</v>
      </c>
      <c r="B256" s="14" t="s">
        <v>482</v>
      </c>
      <c r="C256" s="16" t="s">
        <v>86</v>
      </c>
      <c r="D256" s="36" t="str">
        <f t="shared" si="3"/>
        <v>INSERT INTO SkillAttribute(code, title) 
SELECT 'D95', 'Relacionar técnicas computacionais ao tipo de problema que resolvem.' 
WHERE NOT EXISTS (SELECT 1 FROM SkillAttribute WHERE code = 'D95') 
AND SCHEMA() IN ('alura', 'aluraproduction');
SET @skill_attribute_D95_id = (SELECT id FROM SkillAttribute WHERE code = 'D95');
INSERT INTO Skill_SkillAttribute(skill_id, skill_attribute_id) 
SELECT @skill_EF08CO04_id, @skill_attribute_D95_id WHERE SCHEMA() IN ('alura', 'aluraproduction');</v>
      </c>
    </row>
    <row r="257" spans="1:4" ht="15" customHeight="1">
      <c r="A257" s="19" t="s">
        <v>483</v>
      </c>
      <c r="B257" s="14" t="s">
        <v>484</v>
      </c>
      <c r="C257" s="16" t="s">
        <v>86</v>
      </c>
      <c r="D257" s="36" t="str">
        <f t="shared" si="3"/>
        <v>INSERT INTO SkillAttribute(code, title) 
SELECT 'D96', 'Reconhecer etapas de desenvolvimento colaborativo em soluções computacionais.' 
WHERE NOT EXISTS (SELECT 1 FROM SkillAttribute WHERE code = 'D96') 
AND SCHEMA() IN ('alura', 'aluraproduction');
SET @skill_attribute_D96_id = (SELECT id FROM SkillAttribute WHERE code = 'D96');
INSERT INTO Skill_SkillAttribute(skill_id, skill_attribute_id) 
SELECT @skill_EF08CO04_id, @skill_attribute_D96_id WHERE SCHEMA() IN ('alura', 'aluraproduction');</v>
      </c>
    </row>
    <row r="258" spans="1:4" ht="15" customHeight="1">
      <c r="A258" s="19" t="s">
        <v>485</v>
      </c>
      <c r="B258" s="14" t="s">
        <v>486</v>
      </c>
      <c r="C258" s="16" t="s">
        <v>86</v>
      </c>
      <c r="D258" s="36" t="str">
        <f t="shared" si="3"/>
        <v>INSERT INTO SkillAttribute(code, title) 
SELECT 'D97', 'Analisar como conhecimentos de outras disciplinas contribuem para a construção de uma solução computacional.' 
WHERE NOT EXISTS (SELECT 1 FROM SkillAttribute WHERE code = 'D97') 
AND SCHEMA() IN ('alura', 'aluraproduction');
SET @skill_attribute_D97_id = (SELECT id FROM SkillAttribute WHERE code = 'D97');
INSERT INTO Skill_SkillAttribute(skill_id, skill_attribute_id) 
SELECT @skill_EF08CO04_id, @skill_attribute_D97_id WHERE SCHEMA() IN ('alura', 'aluraproduction');</v>
      </c>
    </row>
    <row r="259" spans="1:4" ht="15" customHeight="1">
      <c r="A259" s="21" t="s">
        <v>667</v>
      </c>
      <c r="B259" s="15" t="s">
        <v>668</v>
      </c>
      <c r="C259" s="16" t="s">
        <v>87</v>
      </c>
      <c r="D259" s="36" t="str">
        <f t="shared" ref="D259:D322" si="4">"INSERT INTO SkillAttribute(code, title) " &amp; CHAR(10) &amp;
"SELECT '" &amp; A259 &amp; "', '" &amp; SUBSTITUTE(B259, "'", "''") &amp; "' " &amp; CHAR(10) &amp;
"WHERE NOT EXISTS (SELECT 1 FROM SkillAttribute WHERE code = '" &amp; A259 &amp; "') " &amp; CHAR(10) &amp;
"AND SCHEMA() IN ('alura', 'aluraproduction');" &amp;
CHAR(10) &amp; CHAR(10) &amp;
"SET @skill_attribute_" &amp; A259 &amp; "_id = (SELECT id FROM SkillAttribute WHERE code = '" &amp; A259 &amp; "');" &amp;
CHAR(10) &amp; CHAR(10) &amp;
"INSERT INTO Skill_SkillAttribute(skill_id, skill_attribute_id) " &amp; CHAR(10) &amp;
"SELECT @skill_" &amp; C259 &amp; "_id, @skill_attribute_" &amp; A259 &amp; "_id WHERE SCHEMA() IN ('alura', 'aluraproduction');"</f>
        <v>INSERT INTO SkillAttribute(code, title) 
SELECT 'D512', 'Identificar situações que envolvem a execução paralela de tarefas.' 
WHERE NOT EXISTS (SELECT 1 FROM SkillAttribute WHERE code = 'D512') 
AND SCHEMA() IN ('alura', 'aluraproduction');
SET @skill_attribute_D512_id = (SELECT id FROM SkillAttribute WHERE code = 'D512');
INSERT INTO Skill_SkillAttribute(skill_id, skill_attribute_id) 
SELECT @skill_EF08CO05_id, @skill_attribute_D512_id WHERE SCHEMA() IN ('alura', 'aluraproduction');</v>
      </c>
    </row>
    <row r="260" spans="1:4" ht="15" customHeight="1">
      <c r="A260" s="21" t="s">
        <v>669</v>
      </c>
      <c r="B260" s="15" t="s">
        <v>670</v>
      </c>
      <c r="C260" s="16" t="s">
        <v>87</v>
      </c>
      <c r="D260" s="36" t="str">
        <f t="shared" si="4"/>
        <v>INSERT INTO SkillAttribute(code, title) 
SELECT 'D513', 'Compreender o funcionamento básico do paralelismo computacional.' 
WHERE NOT EXISTS (SELECT 1 FROM SkillAttribute WHERE code = 'D513') 
AND SCHEMA() IN ('alura', 'aluraproduction');
SET @skill_attribute_D513_id = (SELECT id FROM SkillAttribute WHERE code = 'D513');
INSERT INTO Skill_SkillAttribute(skill_id, skill_attribute_id) 
SELECT @skill_EF08CO05_id, @skill_attribute_D513_id WHERE SCHEMA() IN ('alura', 'aluraproduction');</v>
      </c>
    </row>
    <row r="261" spans="1:4" ht="15" customHeight="1">
      <c r="A261" s="21" t="s">
        <v>671</v>
      </c>
      <c r="B261" s="15" t="s">
        <v>672</v>
      </c>
      <c r="C261" s="16" t="s">
        <v>87</v>
      </c>
      <c r="D261" s="36" t="str">
        <f t="shared" si="4"/>
        <v>INSERT INTO SkillAttribute(code, title) 
SELECT 'D514', 'Analisar vantagens do uso de paralelismo em tarefas específicas.' 
WHERE NOT EXISTS (SELECT 1 FROM SkillAttribute WHERE code = 'D514') 
AND SCHEMA() IN ('alura', 'aluraproduction');
SET @skill_attribute_D514_id = (SELECT id FROM SkillAttribute WHERE code = 'D514');
INSERT INTO Skill_SkillAttribute(skill_id, skill_attribute_id) 
SELECT @skill_EF08CO05_id, @skill_attribute_D514_id WHERE SCHEMA() IN ('alura', 'aluraproduction');</v>
      </c>
    </row>
    <row r="262" spans="1:4" ht="15" customHeight="1">
      <c r="A262" s="21" t="s">
        <v>673</v>
      </c>
      <c r="B262" s="15" t="s">
        <v>674</v>
      </c>
      <c r="C262" s="16" t="s">
        <v>87</v>
      </c>
      <c r="D262" s="36" t="str">
        <f t="shared" si="4"/>
        <v>INSERT INTO SkillAttribute(code, title) 
SELECT 'D515', 'Identificar situações que envolvem a execução concorrente de tarefas.' 
WHERE NOT EXISTS (SELECT 1 FROM SkillAttribute WHERE code = 'D515') 
AND SCHEMA() IN ('alura', 'aluraproduction');
SET @skill_attribute_D515_id = (SELECT id FROM SkillAttribute WHERE code = 'D515');
INSERT INTO Skill_SkillAttribute(skill_id, skill_attribute_id) 
SELECT @skill_EF08CO05_id, @skill_attribute_D515_id WHERE SCHEMA() IN ('alura', 'aluraproduction');</v>
      </c>
    </row>
    <row r="263" spans="1:4" ht="15" customHeight="1">
      <c r="A263" s="21" t="s">
        <v>675</v>
      </c>
      <c r="B263" s="15" t="s">
        <v>676</v>
      </c>
      <c r="C263" s="16" t="s">
        <v>87</v>
      </c>
      <c r="D263" s="36" t="str">
        <f t="shared" si="4"/>
        <v>INSERT INTO SkillAttribute(code, title) 
SELECT 'D516', 'Compreender o conceito de concorrência na execução de processos.' 
WHERE NOT EXISTS (SELECT 1 FROM SkillAttribute WHERE code = 'D516') 
AND SCHEMA() IN ('alura', 'aluraproduction');
SET @skill_attribute_D516_id = (SELECT id FROM SkillAttribute WHERE code = 'D516');
INSERT INTO Skill_SkillAttribute(skill_id, skill_attribute_id) 
SELECT @skill_EF08CO05_id, @skill_attribute_D516_id WHERE SCHEMA() IN ('alura', 'aluraproduction');</v>
      </c>
    </row>
    <row r="264" spans="1:4" ht="15" customHeight="1">
      <c r="A264" s="21" t="s">
        <v>677</v>
      </c>
      <c r="B264" s="15" t="s">
        <v>678</v>
      </c>
      <c r="C264" s="16" t="s">
        <v>87</v>
      </c>
      <c r="D264" s="36" t="str">
        <f t="shared" si="4"/>
        <v>INSERT INTO SkillAttribute(code, title) 
SELECT 'D517', 'Analisar as características da execução concorrente de tarefas. ' 
WHERE NOT EXISTS (SELECT 1 FROM SkillAttribute WHERE code = 'D517') 
AND SCHEMA() IN ('alura', 'aluraproduction');
SET @skill_attribute_D517_id = (SELECT id FROM SkillAttribute WHERE code = 'D517');
INSERT INTO Skill_SkillAttribute(skill_id, skill_attribute_id) 
SELECT @skill_EF08CO05_id, @skill_attribute_D517_id WHERE SCHEMA() IN ('alura', 'aluraproduction');</v>
      </c>
    </row>
    <row r="265" spans="1:4" ht="15" customHeight="1">
      <c r="A265" s="21" t="s">
        <v>679</v>
      </c>
      <c r="B265" s="15" t="s">
        <v>680</v>
      </c>
      <c r="C265" s="16" t="s">
        <v>87</v>
      </c>
      <c r="D265" s="36" t="str">
        <f t="shared" si="4"/>
        <v>INSERT INTO SkillAttribute(code, title) 
SELECT 'D518', 'Identificar exemplos de processamento ou armazenamento distribuído.' 
WHERE NOT EXISTS (SELECT 1 FROM SkillAttribute WHERE code = 'D518') 
AND SCHEMA() IN ('alura', 'aluraproduction');
SET @skill_attribute_D518_id = (SELECT id FROM SkillAttribute WHERE code = 'D518');
INSERT INTO Skill_SkillAttribute(skill_id, skill_attribute_id) 
SELECT @skill_EF08CO05_id, @skill_attribute_D518_id WHERE SCHEMA() IN ('alura', 'aluraproduction');</v>
      </c>
    </row>
    <row r="266" spans="1:4" ht="15" customHeight="1">
      <c r="A266" s="21" t="s">
        <v>681</v>
      </c>
      <c r="B266" s="15" t="s">
        <v>682</v>
      </c>
      <c r="C266" s="16" t="s">
        <v>87</v>
      </c>
      <c r="D266" s="36" t="str">
        <f t="shared" si="4"/>
        <v>INSERT INTO SkillAttribute(code, title) 
SELECT 'D519', 'Compreender como o processamento pode ser dividido entre diferentes sistemas.' 
WHERE NOT EXISTS (SELECT 1 FROM SkillAttribute WHERE code = 'D519') 
AND SCHEMA() IN ('alura', 'aluraproduction');
SET @skill_attribute_D519_id = (SELECT id FROM SkillAttribute WHERE code = 'D519');
INSERT INTO Skill_SkillAttribute(skill_id, skill_attribute_id) 
SELECT @skill_EF08CO05_id, @skill_attribute_D519_id WHERE SCHEMA() IN ('alura', 'aluraproduction');</v>
      </c>
    </row>
    <row r="267" spans="1:4" ht="15" customHeight="1">
      <c r="A267" s="21" t="s">
        <v>683</v>
      </c>
      <c r="B267" s="15" t="s">
        <v>684</v>
      </c>
      <c r="C267" s="16" t="s">
        <v>87</v>
      </c>
      <c r="D267" s="36" t="str">
        <f t="shared" si="4"/>
        <v>INSERT INTO SkillAttribute(code, title) 
SELECT 'D520', 'Analisar aplicações que utilizam computação distribuída.' 
WHERE NOT EXISTS (SELECT 1 FROM SkillAttribute WHERE code = 'D520') 
AND SCHEMA() IN ('alura', 'aluraproduction');
SET @skill_attribute_D520_id = (SELECT id FROM SkillAttribute WHERE code = 'D520');
INSERT INTO Skill_SkillAttribute(skill_id, skill_attribute_id) 
SELECT @skill_EF08CO05_id, @skill_attribute_D520_id WHERE SCHEMA() IN ('alura', 'aluraproduction');</v>
      </c>
    </row>
    <row r="268" spans="1:4" ht="15" customHeight="1">
      <c r="A268" s="21" t="s">
        <v>685</v>
      </c>
      <c r="B268" s="15" t="s">
        <v>686</v>
      </c>
      <c r="C268" s="16" t="s">
        <v>87</v>
      </c>
      <c r="D268" s="36" t="str">
        <f t="shared" si="4"/>
        <v>INSERT INTO SkillAttribute(code, title) 
SELECT 'D521', 'Distinguir o conceito de paralelismo de concorrência. ' 
WHERE NOT EXISTS (SELECT 1 FROM SkillAttribute WHERE code = 'D521') 
AND SCHEMA() IN ('alura', 'aluraproduction');
SET @skill_attribute_D521_id = (SELECT id FROM SkillAttribute WHERE code = 'D521');
INSERT INTO Skill_SkillAttribute(skill_id, skill_attribute_id) 
SELECT @skill_EF08CO05_id, @skill_attribute_D521_id WHERE SCHEMA() IN ('alura', 'aluraproduction');</v>
      </c>
    </row>
    <row r="269" spans="1:4" ht="15" customHeight="1">
      <c r="A269" s="21" t="s">
        <v>687</v>
      </c>
      <c r="B269" s="15" t="s">
        <v>688</v>
      </c>
      <c r="C269" s="16" t="s">
        <v>87</v>
      </c>
      <c r="D269" s="36" t="str">
        <f t="shared" si="4"/>
        <v>INSERT INTO SkillAttribute(code, title) 
SELECT 'D522', 'Distinguir o conceito de paralelismo de processamento distribuído. ' 
WHERE NOT EXISTS (SELECT 1 FROM SkillAttribute WHERE code = 'D522') 
AND SCHEMA() IN ('alura', 'aluraproduction');
SET @skill_attribute_D522_id = (SELECT id FROM SkillAttribute WHERE code = 'D522');
INSERT INTO Skill_SkillAttribute(skill_id, skill_attribute_id) 
SELECT @skill_EF08CO05_id, @skill_attribute_D522_id WHERE SCHEMA() IN ('alura', 'aluraproduction');</v>
      </c>
    </row>
    <row r="270" spans="1:4" ht="15" customHeight="1">
      <c r="A270" s="21" t="s">
        <v>689</v>
      </c>
      <c r="B270" s="15" t="s">
        <v>690</v>
      </c>
      <c r="C270" s="16" t="s">
        <v>87</v>
      </c>
      <c r="D270" s="36" t="str">
        <f t="shared" si="4"/>
        <v>INSERT INTO SkillAttribute(code, title) 
SELECT 'D523', 'Distinguir o conceito de concorrência de processamento distribuído.' 
WHERE NOT EXISTS (SELECT 1 FROM SkillAttribute WHERE code = 'D523') 
AND SCHEMA() IN ('alura', 'aluraproduction');
SET @skill_attribute_D523_id = (SELECT id FROM SkillAttribute WHERE code = 'D523');
INSERT INTO Skill_SkillAttribute(skill_id, skill_attribute_id) 
SELECT @skill_EF08CO05_id, @skill_attribute_D523_id WHERE SCHEMA() IN ('alura', 'aluraproduction');</v>
      </c>
    </row>
    <row r="271" spans="1:4" ht="15" customHeight="1">
      <c r="A271" s="21" t="s">
        <v>691</v>
      </c>
      <c r="B271" s="15" t="s">
        <v>692</v>
      </c>
      <c r="C271" s="16" t="s">
        <v>87</v>
      </c>
      <c r="D271" s="36" t="str">
        <f t="shared" si="4"/>
        <v>INSERT INTO SkillAttribute(code, title) 
SELECT 'D524', 'Compreender diferenças conceituais entre execução concorrente e paralela.' 
WHERE NOT EXISTS (SELECT 1 FROM SkillAttribute WHERE code = 'D524') 
AND SCHEMA() IN ('alura', 'aluraproduction');
SET @skill_attribute_D524_id = (SELECT id FROM SkillAttribute WHERE code = 'D524');
INSERT INTO Skill_SkillAttribute(skill_id, skill_attribute_id) 
SELECT @skill_EF08CO05_id, @skill_attribute_D524_id WHERE SCHEMA() IN ('alura', 'aluraproduction');</v>
      </c>
    </row>
    <row r="272" spans="1:4" ht="15" customHeight="1">
      <c r="A272" s="21" t="s">
        <v>693</v>
      </c>
      <c r="B272" s="15" t="s">
        <v>694</v>
      </c>
      <c r="C272" s="16" t="s">
        <v>87</v>
      </c>
      <c r="D272" s="36" t="str">
        <f t="shared" si="4"/>
        <v>INSERT INTO SkillAttribute(code, title) 
SELECT 'D525', 'Analisar a aplicação adequada de cada conceito em diferentes contextos computacionais.' 
WHERE NOT EXISTS (SELECT 1 FROM SkillAttribute WHERE code = 'D525') 
AND SCHEMA() IN ('alura', 'aluraproduction');
SET @skill_attribute_D525_id = (SELECT id FROM SkillAttribute WHERE code = 'D525');
INSERT INTO Skill_SkillAttribute(skill_id, skill_attribute_id) 
SELECT @skill_EF08CO05_id, @skill_attribute_D525_id WHERE SCHEMA() IN ('alura', 'aluraproduction');</v>
      </c>
    </row>
    <row r="273" spans="1:4" ht="15" customHeight="1">
      <c r="A273" s="19" t="s">
        <v>695</v>
      </c>
      <c r="B273" s="14" t="s">
        <v>696</v>
      </c>
      <c r="C273" s="16" t="s">
        <v>89</v>
      </c>
      <c r="D273" s="36" t="str">
        <f t="shared" si="4"/>
        <v>INSERT INTO SkillAttribute(code, title) 
SELECT 'D186', 'Reconhecer a internet como uma rede global de dispositivos interconectados.' 
WHERE NOT EXISTS (SELECT 1 FROM SkillAttribute WHERE code = 'D186') 
AND SCHEMA() IN ('alura', 'aluraproduction');
SET @skill_attribute_D186_id = (SELECT id FROM SkillAttribute WHERE code = 'D186');
INSERT INTO Skill_SkillAttribute(skill_id, skill_attribute_id) 
SELECT @skill_EF08CO06_id, @skill_attribute_D186_id WHERE SCHEMA() IN ('alura', 'aluraproduction');</v>
      </c>
    </row>
    <row r="274" spans="1:4" ht="15" customHeight="1">
      <c r="A274" s="19" t="s">
        <v>697</v>
      </c>
      <c r="B274" s="14" t="s">
        <v>698</v>
      </c>
      <c r="C274" s="16" t="s">
        <v>89</v>
      </c>
      <c r="D274" s="36" t="str">
        <f t="shared" si="4"/>
        <v>INSERT INTO SkillAttribute(code, title) 
SELECT 'D187', 'Identificar componentes da infraestrutura da internet, como servidores, cabos e satélites.' 
WHERE NOT EXISTS (SELECT 1 FROM SkillAttribute WHERE code = 'D187') 
AND SCHEMA() IN ('alura', 'aluraproduction');
SET @skill_attribute_D187_id = (SELECT id FROM SkillAttribute WHERE code = 'D187');
INSERT INTO Skill_SkillAttribute(skill_id, skill_attribute_id) 
SELECT @skill_EF08CO06_id, @skill_attribute_D187_id WHERE SCHEMA() IN ('alura', 'aluraproduction');</v>
      </c>
    </row>
    <row r="275" spans="1:4" ht="15" customHeight="1">
      <c r="A275" s="19" t="s">
        <v>699</v>
      </c>
      <c r="B275" s="14" t="s">
        <v>700</v>
      </c>
      <c r="C275" s="16" t="s">
        <v>89</v>
      </c>
      <c r="D275" s="36" t="str">
        <f t="shared" si="4"/>
        <v>INSERT INTO SkillAttribute(code, title) 
SELECT 'D188', 'Compreender o papel dos provedores de acesso no funcionamento da internet.' 
WHERE NOT EXISTS (SELECT 1 FROM SkillAttribute WHERE code = 'D188') 
AND SCHEMA() IN ('alura', 'aluraproduction');
SET @skill_attribute_D188_id = (SELECT id FROM SkillAttribute WHERE code = 'D188');
INSERT INTO Skill_SkillAttribute(skill_id, skill_attribute_id) 
SELECT @skill_EF08CO06_id, @skill_attribute_D188_id WHERE SCHEMA() IN ('alura', 'aluraproduction');</v>
      </c>
    </row>
    <row r="276" spans="1:4" ht="15" customHeight="1">
      <c r="A276" s="19" t="s">
        <v>701</v>
      </c>
      <c r="B276" s="14" t="s">
        <v>702</v>
      </c>
      <c r="C276" s="16" t="s">
        <v>89</v>
      </c>
      <c r="D276" s="36" t="str">
        <f t="shared" si="4"/>
        <v>INSERT INTO SkillAttribute(code, title) 
SELECT 'D189', 'Diferenciar a internet da World Wide Web (web).' 
WHERE NOT EXISTS (SELECT 1 FROM SkillAttribute WHERE code = 'D189') 
AND SCHEMA() IN ('alura', 'aluraproduction');
SET @skill_attribute_D189_id = (SELECT id FROM SkillAttribute WHERE code = 'D189');
INSERT INTO Skill_SkillAttribute(skill_id, skill_attribute_id) 
SELECT @skill_EF08CO06_id, @skill_attribute_D189_id WHERE SCHEMA() IN ('alura', 'aluraproduction');</v>
      </c>
    </row>
    <row r="277" spans="1:4" ht="15" customHeight="1">
      <c r="A277" s="19" t="s">
        <v>703</v>
      </c>
      <c r="B277" s="14" t="s">
        <v>704</v>
      </c>
      <c r="C277" s="16" t="s">
        <v>89</v>
      </c>
      <c r="D277" s="36" t="str">
        <f t="shared" si="4"/>
        <v>INSERT INTO SkillAttribute(code, title) 
SELECT 'D190', 'Relacionar o endereço IP e os nomes de domínio à localização de informações na internet.' 
WHERE NOT EXISTS (SELECT 1 FROM SkillAttribute WHERE code = 'D190') 
AND SCHEMA() IN ('alura', 'aluraproduction');
SET @skill_attribute_D190_id = (SELECT id FROM SkillAttribute WHERE code = 'D190');
INSERT INTO Skill_SkillAttribute(skill_id, skill_attribute_id) 
SELECT @skill_EF08CO06_id, @skill_attribute_D190_id WHERE SCHEMA() IN ('alura', 'aluraproduction');</v>
      </c>
    </row>
    <row r="278" spans="1:4" ht="15" customHeight="1">
      <c r="A278" s="19" t="s">
        <v>705</v>
      </c>
      <c r="B278" s="14" t="s">
        <v>706</v>
      </c>
      <c r="C278" s="16" t="s">
        <v>89</v>
      </c>
      <c r="D278" s="36" t="str">
        <f t="shared" si="4"/>
        <v>INSERT INTO SkillAttribute(code, title) 
SELECT 'D191', 'Analisar o percurso de um dado desde a origem até o destino na rede.' 
WHERE NOT EXISTS (SELECT 1 FROM SkillAttribute WHERE code = 'D191') 
AND SCHEMA() IN ('alura', 'aluraproduction');
SET @skill_attribute_D191_id = (SELECT id FROM SkillAttribute WHERE code = 'D191');
INSERT INTO Skill_SkillAttribute(skill_id, skill_attribute_id) 
SELECT @skill_EF08CO06_id, @skill_attribute_D191_id WHERE SCHEMA() IN ('alura', 'aluraproduction');</v>
      </c>
    </row>
    <row r="279" spans="1:4" ht="15" customHeight="1">
      <c r="A279" s="19" t="s">
        <v>707</v>
      </c>
      <c r="B279" s="14" t="s">
        <v>708</v>
      </c>
      <c r="C279" s="16" t="s">
        <v>91</v>
      </c>
      <c r="D279" s="36" t="str">
        <f t="shared" si="4"/>
        <v>INSERT INTO SkillAttribute(code, title) 
SELECT 'D255', 'Compreender o funcionamento das redes sociais.' 
WHERE NOT EXISTS (SELECT 1 FROM SkillAttribute WHERE code = 'D255') 
AND SCHEMA() IN ('alura', 'aluraproduction');
SET @skill_attribute_D255_id = (SELECT id FROM SkillAttribute WHERE code = 'D255');
INSERT INTO Skill_SkillAttribute(skill_id, skill_attribute_id) 
SELECT @skill_EF08CO07_id, @skill_attribute_D255_id WHERE SCHEMA() IN ('alura', 'aluraproduction');</v>
      </c>
    </row>
    <row r="280" spans="1:4" ht="15" customHeight="1">
      <c r="A280" s="19" t="s">
        <v>709</v>
      </c>
      <c r="B280" s="14" t="s">
        <v>710</v>
      </c>
      <c r="C280" s="16" t="s">
        <v>91</v>
      </c>
      <c r="D280" s="36" t="str">
        <f t="shared" si="4"/>
        <v>INSERT INTO SkillAttribute(code, title) 
SELECT 'D256', 'Identificar formas responsáveis de uso das redes sociais.' 
WHERE NOT EXISTS (SELECT 1 FROM SkillAttribute WHERE code = 'D256') 
AND SCHEMA() IN ('alura', 'aluraproduction');
SET @skill_attribute_D256_id = (SELECT id FROM SkillAttribute WHERE code = 'D256');
INSERT INTO Skill_SkillAttribute(skill_id, skill_attribute_id) 
SELECT @skill_EF08CO07_id, @skill_attribute_D256_id WHERE SCHEMA() IN ('alura', 'aluraproduction');</v>
      </c>
    </row>
    <row r="281" spans="1:4" ht="15" customHeight="1">
      <c r="A281" s="19" t="s">
        <v>711</v>
      </c>
      <c r="B281" s="14" t="s">
        <v>712</v>
      </c>
      <c r="C281" s="16" t="s">
        <v>91</v>
      </c>
      <c r="D281" s="36" t="str">
        <f t="shared" si="4"/>
        <v>INSERT INTO SkillAttribute(code, title) 
SELECT 'D257', 'Compreender a importância do respeito e da ética no compartilhamento nas redes sociais.' 
WHERE NOT EXISTS (SELECT 1 FROM SkillAttribute WHERE code = 'D257') 
AND SCHEMA() IN ('alura', 'aluraproduction');
SET @skill_attribute_D257_id = (SELECT id FROM SkillAttribute WHERE code = 'D257');
INSERT INTO Skill_SkillAttribute(skill_id, skill_attribute_id) 
SELECT @skill_EF08CO07_id, @skill_attribute_D257_id WHERE SCHEMA() IN ('alura', 'aluraproduction');</v>
      </c>
    </row>
    <row r="282" spans="1:4" ht="15" customHeight="1">
      <c r="A282" s="19" t="s">
        <v>713</v>
      </c>
      <c r="B282" s="14" t="s">
        <v>714</v>
      </c>
      <c r="C282" s="16" t="s">
        <v>91</v>
      </c>
      <c r="D282" s="36" t="str">
        <f t="shared" si="4"/>
        <v>INSERT INTO SkillAttribute(code, title) 
SELECT 'D258', 'Compreender o impacto das redes sociais no comportamento social.' 
WHERE NOT EXISTS (SELECT 1 FROM SkillAttribute WHERE code = 'D258') 
AND SCHEMA() IN ('alura', 'aluraproduction');
SET @skill_attribute_D258_id = (SELECT id FROM SkillAttribute WHERE code = 'D258');
INSERT INTO Skill_SkillAttribute(skill_id, skill_attribute_id) 
SELECT @skill_EF08CO07_id, @skill_attribute_D258_id WHERE SCHEMA() IN ('alura', 'aluraproduction');</v>
      </c>
    </row>
    <row r="283" spans="1:4" ht="15" customHeight="1">
      <c r="A283" s="19" t="s">
        <v>715</v>
      </c>
      <c r="B283" s="14" t="s">
        <v>716</v>
      </c>
      <c r="C283" s="16" t="s">
        <v>91</v>
      </c>
      <c r="D283" s="36" t="str">
        <f t="shared" si="4"/>
        <v>INSERT INTO SkillAttribute(code, title) 
SELECT 'D259', 'Compreender a influência dos algoritmos no que é exibido nas redes sociais.' 
WHERE NOT EXISTS (SELECT 1 FROM SkillAttribute WHERE code = 'D259') 
AND SCHEMA() IN ('alura', 'aluraproduction');
SET @skill_attribute_D259_id = (SELECT id FROM SkillAttribute WHERE code = 'D259');
INSERT INTO Skill_SkillAttribute(skill_id, skill_attribute_id) 
SELECT @skill_EF08CO07_id, @skill_attribute_D259_id WHERE SCHEMA() IN ('alura', 'aluraproduction');</v>
      </c>
    </row>
    <row r="284" spans="1:4" ht="15" customHeight="1">
      <c r="A284" s="19" t="s">
        <v>717</v>
      </c>
      <c r="B284" s="14" t="s">
        <v>718</v>
      </c>
      <c r="C284" s="16" t="s">
        <v>91</v>
      </c>
      <c r="D284" s="36" t="str">
        <f t="shared" si="4"/>
        <v>INSERT INTO SkillAttribute(code, title) 
SELECT 'D260', 'Analisar a confiabilidade das informações compartilhadas nas redes sociais.' 
WHERE NOT EXISTS (SELECT 1 FROM SkillAttribute WHERE code = 'D260') 
AND SCHEMA() IN ('alura', 'aluraproduction');
SET @skill_attribute_D260_id = (SELECT id FROM SkillAttribute WHERE code = 'D260');
INSERT INTO Skill_SkillAttribute(skill_id, skill_attribute_id) 
SELECT @skill_EF08CO07_id, @skill_attribute_D260_id WHERE SCHEMA() IN ('alura', 'aluraproduction');</v>
      </c>
    </row>
    <row r="285" spans="1:4" ht="15" customHeight="1">
      <c r="A285" s="19" t="s">
        <v>719</v>
      </c>
      <c r="B285" s="14" t="s">
        <v>720</v>
      </c>
      <c r="C285" s="16" t="s">
        <v>91</v>
      </c>
      <c r="D285" s="36" t="str">
        <f t="shared" si="4"/>
        <v>INSERT INTO SkillAttribute(code, title) 
SELECT 'D261', 'Identificar fatores que tornam uma informação inadequada ou imprópria para compartilhamento.' 
WHERE NOT EXISTS (SELECT 1 FROM SkillAttribute WHERE code = 'D261') 
AND SCHEMA() IN ('alura', 'aluraproduction');
SET @skill_attribute_D261_id = (SELECT id FROM SkillAttribute WHERE code = 'D261');
INSERT INTO Skill_SkillAttribute(skill_id, skill_attribute_id) 
SELECT @skill_EF08CO07_id, @skill_attribute_D261_id WHERE SCHEMA() IN ('alura', 'aluraproduction');</v>
      </c>
    </row>
    <row r="286" spans="1:4" ht="15" customHeight="1">
      <c r="A286" s="19" t="s">
        <v>721</v>
      </c>
      <c r="B286" s="14" t="s">
        <v>722</v>
      </c>
      <c r="C286" s="16" t="s">
        <v>91</v>
      </c>
      <c r="D286" s="36" t="str">
        <f t="shared" si="4"/>
        <v>INSERT INTO SkillAttribute(code, title) 
SELECT 'D262', 'Analisar como curtidas, comentários e compartilhamentos influenciam a visibilidade de um conteúdo.' 
WHERE NOT EXISTS (SELECT 1 FROM SkillAttribute WHERE code = 'D262') 
AND SCHEMA() IN ('alura', 'aluraproduction');
SET @skill_attribute_D262_id = (SELECT id FROM SkillAttribute WHERE code = 'D262');
INSERT INTO Skill_SkillAttribute(skill_id, skill_attribute_id) 
SELECT @skill_EF08CO07_id, @skill_attribute_D262_id WHERE SCHEMA() IN ('alura', 'aluraproduction');</v>
      </c>
    </row>
    <row r="287" spans="1:4" ht="15" customHeight="1">
      <c r="A287" s="19" t="s">
        <v>723</v>
      </c>
      <c r="B287" s="14" t="s">
        <v>724</v>
      </c>
      <c r="C287" s="16" t="s">
        <v>91</v>
      </c>
      <c r="D287" s="36" t="str">
        <f t="shared" si="4"/>
        <v>INSERT INTO SkillAttribute(code, title) 
SELECT 'D263', 'Reconhecer o papel dos algoritmos na personalização do conteúdo exibido ao usuário.' 
WHERE NOT EXISTS (SELECT 1 FROM SkillAttribute WHERE code = 'D263') 
AND SCHEMA() IN ('alura', 'aluraproduction');
SET @skill_attribute_D263_id = (SELECT id FROM SkillAttribute WHERE code = 'D263');
INSERT INTO Skill_SkillAttribute(skill_id, skill_attribute_id) 
SELECT @skill_EF08CO07_id, @skill_attribute_D263_id WHERE SCHEMA() IN ('alura', 'aluraproduction');</v>
      </c>
    </row>
    <row r="288" spans="1:4" ht="15" customHeight="1">
      <c r="A288" s="19" t="s">
        <v>725</v>
      </c>
      <c r="B288" s="14" t="s">
        <v>726</v>
      </c>
      <c r="C288" s="16" t="s">
        <v>93</v>
      </c>
      <c r="D288" s="36" t="str">
        <f t="shared" si="4"/>
        <v>INSERT INTO SkillAttribute(code, title) 
SELECT 'D264', 'Identificar diferentes tipos de dados pessoais solicitados em espaços digitais (como nome, e-mail, localização ou dados bancários).' 
WHERE NOT EXISTS (SELECT 1 FROM SkillAttribute WHERE code = 'D264') 
AND SCHEMA() IN ('alura', 'aluraproduction');
SET @skill_attribute_D264_id = (SELECT id FROM SkillAttribute WHERE code = 'D264');
INSERT INTO Skill_SkillAttribute(skill_id, skill_attribute_id) 
SELECT @skill_EF08CO08_id, @skill_attribute_D264_id WHERE SCHEMA() IN ('alura', 'aluraproduction');</v>
      </c>
    </row>
    <row r="289" spans="1:4" ht="15" customHeight="1">
      <c r="A289" s="19" t="s">
        <v>727</v>
      </c>
      <c r="B289" s="14" t="s">
        <v>728</v>
      </c>
      <c r="C289" s="16" t="s">
        <v>93</v>
      </c>
      <c r="D289" s="36" t="str">
        <f t="shared" si="4"/>
        <v>INSERT INTO SkillAttribute(code, title) 
SELECT 'D265', 'Reconhecer dados pessoais sensíveis, como origem étnica, religião, orientação sexual ou saúde.' 
WHERE NOT EXISTS (SELECT 1 FROM SkillAttribute WHERE code = 'D265') 
AND SCHEMA() IN ('alura', 'aluraproduction');
SET @skill_attribute_D265_id = (SELECT id FROM SkillAttribute WHERE code = 'D265');
INSERT INTO Skill_SkillAttribute(skill_id, skill_attribute_id) 
SELECT @skill_EF08CO08_id, @skill_attribute_D265_id WHERE SCHEMA() IN ('alura', 'aluraproduction');</v>
      </c>
    </row>
    <row r="290" spans="1:4" ht="15" customHeight="1">
      <c r="A290" s="19" t="s">
        <v>729</v>
      </c>
      <c r="B290" s="14" t="s">
        <v>730</v>
      </c>
      <c r="C290" s="16" t="s">
        <v>93</v>
      </c>
      <c r="D290" s="36" t="str">
        <f t="shared" si="4"/>
        <v>INSERT INTO SkillAttribute(code, title) 
SELECT 'D266', 'Compreender os riscos associados à divulgação de dados pessoais em espaços digitais.' 
WHERE NOT EXISTS (SELECT 1 FROM SkillAttribute WHERE code = 'D266') 
AND SCHEMA() IN ('alura', 'aluraproduction');
SET @skill_attribute_D266_id = (SELECT id FROM SkillAttribute WHERE code = 'D266');
INSERT INTO Skill_SkillAttribute(skill_id, skill_attribute_id) 
SELECT @skill_EF08CO08_id, @skill_attribute_D266_id WHERE SCHEMA() IN ('alura', 'aluraproduction');</v>
      </c>
    </row>
    <row r="291" spans="1:4" ht="15" customHeight="1">
      <c r="A291" s="19" t="s">
        <v>731</v>
      </c>
      <c r="B291" s="14" t="s">
        <v>732</v>
      </c>
      <c r="C291" s="16" t="s">
        <v>93</v>
      </c>
      <c r="D291" s="36" t="str">
        <f t="shared" si="4"/>
        <v>INSERT INTO SkillAttribute(code, title) 
SELECT 'D267', 'Analisar situações em que o compartilhamento de dados pessoais representa risco à segurança ou à privacidade.' 
WHERE NOT EXISTS (SELECT 1 FROM SkillAttribute WHERE code = 'D267') 
AND SCHEMA() IN ('alura', 'aluraproduction');
SET @skill_attribute_D267_id = (SELECT id FROM SkillAttribute WHERE code = 'D267');
INSERT INTO Skill_SkillAttribute(skill_id, skill_attribute_id) 
SELECT @skill_EF08CO08_id, @skill_attribute_D267_id WHERE SCHEMA() IN ('alura', 'aluraproduction');</v>
      </c>
    </row>
    <row r="292" spans="1:4" ht="15" customHeight="1">
      <c r="A292" s="19" t="s">
        <v>733</v>
      </c>
      <c r="B292" s="14" t="s">
        <v>734</v>
      </c>
      <c r="C292" s="16" t="s">
        <v>93</v>
      </c>
      <c r="D292" s="36" t="str">
        <f t="shared" si="4"/>
        <v>INSERT INTO SkillAttribute(code, title) 
SELECT 'D268', 'Distinguir entre dados necessários e dados excessivos solicitados em cadastros ou formulários digitais.' 
WHERE NOT EXISTS (SELECT 1 FROM SkillAttribute WHERE code = 'D268') 
AND SCHEMA() IN ('alura', 'aluraproduction');
SET @skill_attribute_D268_id = (SELECT id FROM SkillAttribute WHERE code = 'D268');
INSERT INTO Skill_SkillAttribute(skill_id, skill_attribute_id) 
SELECT @skill_EF08CO08_id, @skill_attribute_D268_id WHERE SCHEMA() IN ('alura', 'aluraproduction');</v>
      </c>
    </row>
    <row r="293" spans="1:4" ht="15" customHeight="1">
      <c r="A293" s="19" t="s">
        <v>735</v>
      </c>
      <c r="B293" s="14" t="s">
        <v>736</v>
      </c>
      <c r="C293" s="16" t="s">
        <v>93</v>
      </c>
      <c r="D293" s="36" t="str">
        <f t="shared" si="4"/>
        <v>INSERT INTO SkillAttribute(code, title) 
SELECT 'D269', 'Relacionar o tipo de dado solicitado ao possível uso indevido por terceiros.' 
WHERE NOT EXISTS (SELECT 1 FROM SkillAttribute WHERE code = 'D269') 
AND SCHEMA() IN ('alura', 'aluraproduction');
SET @skill_attribute_D269_id = (SELECT id FROM SkillAttribute WHERE code = 'D269');
INSERT INTO Skill_SkillAttribute(skill_id, skill_attribute_id) 
SELECT @skill_EF08CO08_id, @skill_attribute_D269_id WHERE SCHEMA() IN ('alura', 'aluraproduction');</v>
      </c>
    </row>
    <row r="294" spans="1:4" ht="15" customHeight="1">
      <c r="A294" s="19" t="s">
        <v>737</v>
      </c>
      <c r="B294" s="14" t="s">
        <v>738</v>
      </c>
      <c r="C294" s="16" t="s">
        <v>95</v>
      </c>
      <c r="D294" s="36" t="str">
        <f t="shared" si="4"/>
        <v>INSERT INTO SkillAttribute(code, title) 
SELECT 'D270', 'Identificar informações básicas contidas em termos de uso de redes sociais ou plataformas digitais.' 
WHERE NOT EXISTS (SELECT 1 FROM SkillAttribute WHERE code = 'D270') 
AND SCHEMA() IN ('alura', 'aluraproduction');
SET @skill_attribute_D270_id = (SELECT id FROM SkillAttribute WHERE code = 'D270');
INSERT INTO Skill_SkillAttribute(skill_id, skill_attribute_id) 
SELECT @skill_EF08CO09_id, @skill_attribute_D270_id WHERE SCHEMA() IN ('alura', 'aluraproduction');</v>
      </c>
    </row>
    <row r="295" spans="1:4" ht="15" customHeight="1">
      <c r="A295" s="19" t="s">
        <v>739</v>
      </c>
      <c r="B295" s="14" t="s">
        <v>740</v>
      </c>
      <c r="C295" s="16" t="s">
        <v>95</v>
      </c>
      <c r="D295" s="36" t="str">
        <f t="shared" si="4"/>
        <v>INSERT INTO SkillAttribute(code, title) 
SELECT 'D271', 'Compreender os direitos e deveres do usuário descritos em políticas de uso.' 
WHERE NOT EXISTS (SELECT 1 FROM SkillAttribute WHERE code = 'D271') 
AND SCHEMA() IN ('alura', 'aluraproduction');
SET @skill_attribute_D271_id = (SELECT id FROM SkillAttribute WHERE code = 'D271');
INSERT INTO Skill_SkillAttribute(skill_id, skill_attribute_id) 
SELECT @skill_EF08CO09_id, @skill_attribute_D271_id WHERE SCHEMA() IN ('alura', 'aluraproduction');</v>
      </c>
    </row>
    <row r="296" spans="1:4" ht="15" customHeight="1">
      <c r="A296" s="19" t="s">
        <v>741</v>
      </c>
      <c r="B296" s="14" t="s">
        <v>742</v>
      </c>
      <c r="C296" s="16" t="s">
        <v>95</v>
      </c>
      <c r="D296" s="36" t="str">
        <f t="shared" si="4"/>
        <v>INSERT INTO SkillAttribute(code, title) 
SELECT 'D272', 'Reconhecer cláusulas que tratam do uso de dados pessoais em termos de serviço.' 
WHERE NOT EXISTS (SELECT 1 FROM SkillAttribute WHERE code = 'D272') 
AND SCHEMA() IN ('alura', 'aluraproduction');
SET @skill_attribute_D272_id = (SELECT id FROM SkillAttribute WHERE code = 'D272');
INSERT INTO Skill_SkillAttribute(skill_id, skill_attribute_id) 
SELECT @skill_EF08CO09_id, @skill_attribute_D272_id WHERE SCHEMA() IN ('alura', 'aluraproduction');</v>
      </c>
    </row>
    <row r="297" spans="1:4" ht="15" customHeight="1">
      <c r="A297" s="19" t="s">
        <v>743</v>
      </c>
      <c r="B297" s="14" t="s">
        <v>744</v>
      </c>
      <c r="C297" s="16" t="s">
        <v>95</v>
      </c>
      <c r="D297" s="36" t="str">
        <f t="shared" si="4"/>
        <v>INSERT INTO SkillAttribute(code, title) 
SELECT 'D273', 'Analisar as consequências de aceitar termos de uso sem realizar sua leitura.' 
WHERE NOT EXISTS (SELECT 1 FROM SkillAttribute WHERE code = 'D273') 
AND SCHEMA() IN ('alura', 'aluraproduction');
SET @skill_attribute_D273_id = (SELECT id FROM SkillAttribute WHERE code = 'D273');
INSERT INTO Skill_SkillAttribute(skill_id, skill_attribute_id) 
SELECT @skill_EF08CO09_id, @skill_attribute_D273_id WHERE SCHEMA() IN ('alura', 'aluraproduction');</v>
      </c>
    </row>
    <row r="298" spans="1:4" ht="15" customHeight="1">
      <c r="A298" s="19" t="s">
        <v>745</v>
      </c>
      <c r="B298" s="14" t="s">
        <v>746</v>
      </c>
      <c r="C298" s="16" t="s">
        <v>95</v>
      </c>
      <c r="D298" s="36" t="str">
        <f t="shared" si="4"/>
        <v>INSERT INTO SkillAttribute(code, title) 
SELECT 'D274', 'Relacionar um trecho de política de uso a uma consequência específica para o usuário.' 
WHERE NOT EXISTS (SELECT 1 FROM SkillAttribute WHERE code = 'D274') 
AND SCHEMA() IN ('alura', 'aluraproduction');
SET @skill_attribute_D274_id = (SELECT id FROM SkillAttribute WHERE code = 'D274');
INSERT INTO Skill_SkillAttribute(skill_id, skill_attribute_id) 
SELECT @skill_EF08CO09_id, @skill_attribute_D274_id WHERE SCHEMA() IN ('alura', 'aluraproduction');</v>
      </c>
    </row>
    <row r="299" spans="1:4" ht="15" customHeight="1">
      <c r="A299" s="19" t="s">
        <v>747</v>
      </c>
      <c r="B299" s="14" t="s">
        <v>748</v>
      </c>
      <c r="C299" s="16" t="s">
        <v>95</v>
      </c>
      <c r="D299" s="36" t="str">
        <f t="shared" si="4"/>
        <v>INSERT INTO SkillAttribute(code, title) 
SELECT 'D275', 'Identificar semelhanças entre diferentes termos de uso.' 
WHERE NOT EXISTS (SELECT 1 FROM SkillAttribute WHERE code = 'D275') 
AND SCHEMA() IN ('alura', 'aluraproduction');
SET @skill_attribute_D275_id = (SELECT id FROM SkillAttribute WHERE code = 'D275');
INSERT INTO Skill_SkillAttribute(skill_id, skill_attribute_id) 
SELECT @skill_EF08CO09_id, @skill_attribute_D275_id WHERE SCHEMA() IN ('alura', 'aluraproduction');</v>
      </c>
    </row>
    <row r="300" spans="1:4" ht="15" customHeight="1">
      <c r="A300" s="19" t="s">
        <v>749</v>
      </c>
      <c r="B300" s="14" t="s">
        <v>750</v>
      </c>
      <c r="C300" s="16" t="s">
        <v>95</v>
      </c>
      <c r="D300" s="36" t="str">
        <f t="shared" si="4"/>
        <v>INSERT INTO SkillAttribute(code, title) 
SELECT 'D276', 'Identificar diferenças entre diferentes termos de uso.' 
WHERE NOT EXISTS (SELECT 1 FROM SkillAttribute WHERE code = 'D276') 
AND SCHEMA() IN ('alura', 'aluraproduction');
SET @skill_attribute_D276_id = (SELECT id FROM SkillAttribute WHERE code = 'D276');
INSERT INTO Skill_SkillAttribute(skill_id, skill_attribute_id) 
SELECT @skill_EF08CO09_id, @skill_attribute_D276_id WHERE SCHEMA() IN ('alura', 'aluraproduction');</v>
      </c>
    </row>
    <row r="301" spans="1:4" ht="15" customHeight="1">
      <c r="A301" s="19" t="s">
        <v>751</v>
      </c>
      <c r="B301" s="14" t="s">
        <v>752</v>
      </c>
      <c r="C301" s="16" t="s">
        <v>97</v>
      </c>
      <c r="D301" s="36" t="str">
        <f t="shared" si="4"/>
        <v>INSERT INTO SkillAttribute(code, title) 
SELECT 'D277', 'Reconhecer práticas que colocam em risco a privacidade do usuário em ambientes virtuais.' 
WHERE NOT EXISTS (SELECT 1 FROM SkillAttribute WHERE code = 'D277') 
AND SCHEMA() IN ('alura', 'aluraproduction');
SET @skill_attribute_D277_id = (SELECT id FROM SkillAttribute WHERE code = 'D277');
INSERT INTO Skill_SkillAttribute(skill_id, skill_attribute_id) 
SELECT @skill_EF08CO10_id, @skill_attribute_D277_id WHERE SCHEMA() IN ('alura', 'aluraproduction');</v>
      </c>
    </row>
    <row r="302" spans="1:4" ht="15" customHeight="1">
      <c r="A302" s="19" t="s">
        <v>753</v>
      </c>
      <c r="B302" s="14" t="s">
        <v>754</v>
      </c>
      <c r="C302" s="16" t="s">
        <v>97</v>
      </c>
      <c r="D302" s="36" t="str">
        <f t="shared" si="4"/>
        <v>INSERT INTO SkillAttribute(code, title) 
SELECT 'D278', 'Identificar medidas de proteção de dados em ambientes digitais (como uso de senhas, autenticação, controle de permissões).' 
WHERE NOT EXISTS (SELECT 1 FROM SkillAttribute WHERE code = 'D278') 
AND SCHEMA() IN ('alura', 'aluraproduction');
SET @skill_attribute_D278_id = (SELECT id FROM SkillAttribute WHERE code = 'D278');
INSERT INTO Skill_SkillAttribute(skill_id, skill_attribute_id) 
SELECT @skill_EF08CO10_id, @skill_attribute_D278_id WHERE SCHEMA() IN ('alura', 'aluraproduction');</v>
      </c>
    </row>
    <row r="303" spans="1:4" ht="15" customHeight="1">
      <c r="A303" s="19" t="s">
        <v>755</v>
      </c>
      <c r="B303" s="14" t="s">
        <v>756</v>
      </c>
      <c r="C303" s="16" t="s">
        <v>97</v>
      </c>
      <c r="D303" s="36" t="str">
        <f t="shared" si="4"/>
        <v>INSERT INTO SkillAttribute(code, title) 
SELECT 'D279', 'Compreender a diferença entre segurança e privacidade em ambientes virtuais.' 
WHERE NOT EXISTS (SELECT 1 FROM SkillAttribute WHERE code = 'D279') 
AND SCHEMA() IN ('alura', 'aluraproduction');
SET @skill_attribute_D279_id = (SELECT id FROM SkillAttribute WHERE code = 'D279');
INSERT INTO Skill_SkillAttribute(skill_id, skill_attribute_id) 
SELECT @skill_EF08CO10_id, @skill_attribute_D279_id WHERE SCHEMA() IN ('alura', 'aluraproduction');</v>
      </c>
    </row>
    <row r="304" spans="1:4" ht="15" customHeight="1">
      <c r="A304" s="19" t="s">
        <v>757</v>
      </c>
      <c r="B304" s="14" t="s">
        <v>758</v>
      </c>
      <c r="C304" s="16" t="s">
        <v>97</v>
      </c>
      <c r="D304" s="36" t="str">
        <f t="shared" si="4"/>
        <v>INSERT INTO SkillAttribute(code, title) 
SELECT 'D280', 'Analisar situações que envolvem exposição de informações pessoais em ambientes online.' 
WHERE NOT EXISTS (SELECT 1 FROM SkillAttribute WHERE code = 'D280') 
AND SCHEMA() IN ('alura', 'aluraproduction');
SET @skill_attribute_D280_id = (SELECT id FROM SkillAttribute WHERE code = 'D280');
INSERT INTO Skill_SkillAttribute(skill_id, skill_attribute_id) 
SELECT @skill_EF08CO10_id, @skill_attribute_D280_id WHERE SCHEMA() IN ('alura', 'aluraproduction');</v>
      </c>
    </row>
    <row r="305" spans="1:4" ht="15" customHeight="1">
      <c r="A305" s="19" t="s">
        <v>759</v>
      </c>
      <c r="B305" s="14" t="s">
        <v>760</v>
      </c>
      <c r="C305" s="16" t="s">
        <v>97</v>
      </c>
      <c r="D305" s="36" t="str">
        <f t="shared" si="4"/>
        <v>INSERT INTO SkillAttribute(code, title) 
SELECT 'D281', 'Relacionar atitudes digitais a riscos ou garantias de privacidade.' 
WHERE NOT EXISTS (SELECT 1 FROM SkillAttribute WHERE code = 'D281') 
AND SCHEMA() IN ('alura', 'aluraproduction');
SET @skill_attribute_D281_id = (SELECT id FROM SkillAttribute WHERE code = 'D281');
INSERT INTO Skill_SkillAttribute(skill_id, skill_attribute_id) 
SELECT @skill_EF08CO10_id, @skill_attribute_D281_id WHERE SCHEMA() IN ('alura', 'aluraproduction');</v>
      </c>
    </row>
    <row r="306" spans="1:4" ht="15" customHeight="1">
      <c r="A306" s="19" t="s">
        <v>761</v>
      </c>
      <c r="B306" s="14" t="s">
        <v>762</v>
      </c>
      <c r="C306" s="16" t="s">
        <v>99</v>
      </c>
      <c r="D306" s="36" t="str">
        <f t="shared" si="4"/>
        <v>INSERT INTO SkillAttribute(code, title) 
SELECT 'D282', 'Compreender a importância da qualidade das informações encontradas em fontes eletrônicas.' 
WHERE NOT EXISTS (SELECT 1 FROM SkillAttribute WHERE code = 'D282') 
AND SCHEMA() IN ('alura', 'aluraproduction');
SET @skill_attribute_D282_id = (SELECT id FROM SkillAttribute WHERE code = 'D282');
INSERT INTO Skill_SkillAttribute(skill_id, skill_attribute_id) 
SELECT @skill_EF08CO11_id, @skill_attribute_D282_id WHERE SCHEMA() IN ('alura', 'aluraproduction');</v>
      </c>
    </row>
    <row r="307" spans="1:4" ht="15" customHeight="1">
      <c r="A307" s="19" t="s">
        <v>763</v>
      </c>
      <c r="B307" s="14" t="s">
        <v>764</v>
      </c>
      <c r="C307" s="16" t="s">
        <v>99</v>
      </c>
      <c r="D307" s="36" t="str">
        <f t="shared" si="4"/>
        <v>INSERT INTO SkillAttribute(code, title) 
SELECT 'D283', 'Analisar a precisão e relevância das informações em fontes eletrônicas.' 
WHERE NOT EXISTS (SELECT 1 FROM SkillAttribute WHERE code = 'D283') 
AND SCHEMA() IN ('alura', 'aluraproduction');
SET @skill_attribute_D283_id = (SELECT id FROM SkillAttribute WHERE code = 'D283');
INSERT INTO Skill_SkillAttribute(skill_id, skill_attribute_id) 
SELECT @skill_EF08CO11_id, @skill_attribute_D283_id WHERE SCHEMA() IN ('alura', 'aluraproduction');</v>
      </c>
    </row>
    <row r="308" spans="1:4" ht="15" customHeight="1">
      <c r="A308" s="19" t="s">
        <v>765</v>
      </c>
      <c r="B308" s="14" t="s">
        <v>766</v>
      </c>
      <c r="C308" s="16" t="s">
        <v>99</v>
      </c>
      <c r="D308" s="36" t="str">
        <f t="shared" si="4"/>
        <v>INSERT INTO SkillAttribute(code, title) 
SELECT 'D284', 'Analisar a adequação da fonte ao público-alvo.' 
WHERE NOT EXISTS (SELECT 1 FROM SkillAttribute WHERE code = 'D284') 
AND SCHEMA() IN ('alura', 'aluraproduction');
SET @skill_attribute_D284_id = (SELECT id FROM SkillAttribute WHERE code = 'D284');
INSERT INTO Skill_SkillAttribute(skill_id, skill_attribute_id) 
SELECT @skill_EF08CO11_id, @skill_attribute_D284_id WHERE SCHEMA() IN ('alura', 'aluraproduction');</v>
      </c>
    </row>
    <row r="309" spans="1:4" ht="15" customHeight="1">
      <c r="A309" s="19" t="s">
        <v>767</v>
      </c>
      <c r="B309" s="14" t="s">
        <v>768</v>
      </c>
      <c r="C309" s="16" t="s">
        <v>99</v>
      </c>
      <c r="D309" s="36" t="str">
        <f t="shared" si="4"/>
        <v>INSERT INTO SkillAttribute(code, title) 
SELECT 'D285', 'Analisar a abrangência das informações.' 
WHERE NOT EXISTS (SELECT 1 FROM SkillAttribute WHERE code = 'D285') 
AND SCHEMA() IN ('alura', 'aluraproduction');
SET @skill_attribute_D285_id = (SELECT id FROM SkillAttribute WHERE code = 'D285');
INSERT INTO Skill_SkillAttribute(skill_id, skill_attribute_id) 
SELECT @skill_EF08CO11_id, @skill_attribute_D285_id WHERE SCHEMA() IN ('alura', 'aluraproduction');</v>
      </c>
    </row>
    <row r="310" spans="1:4" ht="15" customHeight="1">
      <c r="A310" s="19" t="s">
        <v>769</v>
      </c>
      <c r="B310" s="14" t="s">
        <v>770</v>
      </c>
      <c r="C310" s="16" t="s">
        <v>99</v>
      </c>
      <c r="D310" s="36" t="str">
        <f t="shared" si="4"/>
        <v>INSERT INTO SkillAttribute(code, title) 
SELECT 'D286', 'Identificar vieses presentes nas fontes.' 
WHERE NOT EXISTS (SELECT 1 FROM SkillAttribute WHERE code = 'D286') 
AND SCHEMA() IN ('alura', 'aluraproduction');
SET @skill_attribute_D286_id = (SELECT id FROM SkillAttribute WHERE code = 'D286');
INSERT INTO Skill_SkillAttribute(skill_id, skill_attribute_id) 
SELECT @skill_EF08CO11_id, @skill_attribute_D286_id WHERE SCHEMA() IN ('alura', 'aluraproduction');</v>
      </c>
    </row>
    <row r="311" spans="1:4" ht="15" customHeight="1">
      <c r="A311" s="19" t="s">
        <v>771</v>
      </c>
      <c r="B311" s="14" t="s">
        <v>772</v>
      </c>
      <c r="C311" s="16" t="s">
        <v>99</v>
      </c>
      <c r="D311" s="36" t="str">
        <f t="shared" si="4"/>
        <v>INSERT INTO SkillAttribute(code, title) 
SELECT 'D287', 'Analisar os efeitos de vieses presentes nas fontes de informação.' 
WHERE NOT EXISTS (SELECT 1 FROM SkillAttribute WHERE code = 'D287') 
AND SCHEMA() IN ('alura', 'aluraproduction');
SET @skill_attribute_D287_id = (SELECT id FROM SkillAttribute WHERE code = 'D287');
INSERT INTO Skill_SkillAttribute(skill_id, skill_attribute_id) 
SELECT @skill_EF08CO11_id, @skill_attribute_D287_id WHERE SCHEMA() IN ('alura', 'aluraproduction');</v>
      </c>
    </row>
    <row r="312" spans="1:4" ht="15" customHeight="1">
      <c r="A312" s="19" t="s">
        <v>773</v>
      </c>
      <c r="B312" s="14" t="s">
        <v>774</v>
      </c>
      <c r="C312" s="16" t="s">
        <v>99</v>
      </c>
      <c r="D312" s="36" t="str">
        <f t="shared" si="4"/>
        <v>INSERT INTO SkillAttribute(code, title) 
SELECT 'D288', 'Compreender o impacto do formato e da mídia na informação.' 
WHERE NOT EXISTS (SELECT 1 FROM SkillAttribute WHERE code = 'D288') 
AND SCHEMA() IN ('alura', 'aluraproduction');
SET @skill_attribute_D288_id = (SELECT id FROM SkillAttribute WHERE code = 'D288');
INSERT INTO Skill_SkillAttribute(skill_id, skill_attribute_id) 
SELECT @skill_EF08CO11_id, @skill_attribute_D288_id WHERE SCHEMA() IN ('alura', 'aluraproduction');</v>
      </c>
    </row>
    <row r="313" spans="1:4" ht="15" customHeight="1">
      <c r="A313" s="19" t="s">
        <v>775</v>
      </c>
      <c r="B313" s="14" t="s">
        <v>776</v>
      </c>
      <c r="C313" s="16" t="s">
        <v>99</v>
      </c>
      <c r="D313" s="36" t="str">
        <f t="shared" si="4"/>
        <v>INSERT INTO SkillAttribute(code, title) 
SELECT 'D289', 'Identificar informações excessivas ou ausentes que afetam a compreensão de um tema.' 
WHERE NOT EXISTS (SELECT 1 FROM SkillAttribute WHERE code = 'D289') 
AND SCHEMA() IN ('alura', 'aluraproduction');
SET @skill_attribute_D289_id = (SELECT id FROM SkillAttribute WHERE code = 'D289');
INSERT INTO Skill_SkillAttribute(skill_id, skill_attribute_id) 
SELECT @skill_EF08CO11_id, @skill_attribute_D289_id WHERE SCHEMA() IN ('alura', 'aluraproduction');</v>
      </c>
    </row>
    <row r="314" spans="1:4" ht="15" customHeight="1">
      <c r="A314" s="19" t="s">
        <v>777</v>
      </c>
      <c r="B314" s="14" t="s">
        <v>778</v>
      </c>
      <c r="C314" s="16" t="s">
        <v>99</v>
      </c>
      <c r="D314" s="36" t="str">
        <f t="shared" si="4"/>
        <v>INSERT INTO SkillAttribute(code, title) 
SELECT 'D290', 'Relacionar o formato de apresentação da informação ao seu impacto interpretativo.' 
WHERE NOT EXISTS (SELECT 1 FROM SkillAttribute WHERE code = 'D290') 
AND SCHEMA() IN ('alura', 'aluraproduction');
SET @skill_attribute_D290_id = (SELECT id FROM SkillAttribute WHERE code = 'D290');
INSERT INTO Skill_SkillAttribute(skill_id, skill_attribute_id) 
SELECT @skill_EF08CO11_id, @skill_attribute_D290_id WHERE SCHEMA() IN ('alura', 'aluraproduction');</v>
      </c>
    </row>
    <row r="315" spans="1:4" ht="15" customHeight="1">
      <c r="A315" s="19" t="s">
        <v>779</v>
      </c>
      <c r="B315" s="14" t="s">
        <v>780</v>
      </c>
      <c r="C315" s="16" t="s">
        <v>99</v>
      </c>
      <c r="D315" s="36" t="str">
        <f t="shared" si="4"/>
        <v>INSERT INTO SkillAttribute(code, title) 
SELECT 'D291', 'Reconhecer quando uma fonte apresenta apenas um ponto de vista sobre um tema.' 
WHERE NOT EXISTS (SELECT 1 FROM SkillAttribute WHERE code = 'D291') 
AND SCHEMA() IN ('alura', 'aluraproduction');
SET @skill_attribute_D291_id = (SELECT id FROM SkillAttribute WHERE code = 'D291');
INSERT INTO Skill_SkillAttribute(skill_id, skill_attribute_id) 
SELECT @skill_EF08CO11_id, @skill_attribute_D291_id WHERE SCHEMA() IN ('alura', 'aluraproduction');</v>
      </c>
    </row>
    <row r="316" spans="1:4" ht="15" customHeight="1">
      <c r="A316" s="21" t="s">
        <v>781</v>
      </c>
      <c r="B316" s="15" t="s">
        <v>782</v>
      </c>
      <c r="C316" s="16" t="s">
        <v>101</v>
      </c>
      <c r="D316" s="36" t="str">
        <f t="shared" si="4"/>
        <v>INSERT INTO SkillAttribute(code, title) 
SELECT 'D500', 'Identificar situações em que o uso de árvores é adequado para representar informações.' 
WHERE NOT EXISTS (SELECT 1 FROM SkillAttribute WHERE code = 'D500') 
AND SCHEMA() IN ('alura', 'aluraproduction');
SET @skill_attribute_D500_id = (SELECT id FROM SkillAttribute WHERE code = 'D500');
INSERT INTO Skill_SkillAttribute(skill_id, skill_attribute_id) 
SELECT @skill_EF09CO01_id, @skill_attribute_D500_id WHERE SCHEMA() IN ('alura', 'aluraproduction');</v>
      </c>
    </row>
    <row r="317" spans="1:4" ht="15" customHeight="1">
      <c r="A317" s="21" t="s">
        <v>783</v>
      </c>
      <c r="B317" s="15" t="s">
        <v>784</v>
      </c>
      <c r="C317" s="16" t="s">
        <v>101</v>
      </c>
      <c r="D317" s="36" t="str">
        <f t="shared" si="4"/>
        <v>INSERT INTO SkillAttribute(code, title) 
SELECT 'D501', 'Compreender a estrutura e o funcionamento de uma árvore em contextos computacionais.' 
WHERE NOT EXISTS (SELECT 1 FROM SkillAttribute WHERE code = 'D501') 
AND SCHEMA() IN ('alura', 'aluraproduction');
SET @skill_attribute_D501_id = (SELECT id FROM SkillAttribute WHERE code = 'D501');
INSERT INTO Skill_SkillAttribute(skill_id, skill_attribute_id) 
SELECT @skill_EF09CO01_id, @skill_attribute_D501_id WHERE SCHEMA() IN ('alura', 'aluraproduction');</v>
      </c>
    </row>
    <row r="318" spans="1:4" ht="15" customHeight="1">
      <c r="A318" s="21" t="s">
        <v>785</v>
      </c>
      <c r="B318" s="15" t="s">
        <v>786</v>
      </c>
      <c r="C318" s="16" t="s">
        <v>101</v>
      </c>
      <c r="D318" s="36" t="str">
        <f t="shared" si="4"/>
        <v>INSERT INTO SkillAttribute(code, title) 
SELECT 'D502', 'Analisar relações hierárquicas que podem ser representadas com árvores.' 
WHERE NOT EXISTS (SELECT 1 FROM SkillAttribute WHERE code = 'D502') 
AND SCHEMA() IN ('alura', 'aluraproduction');
SET @skill_attribute_D502_id = (SELECT id FROM SkillAttribute WHERE code = 'D502');
INSERT INTO Skill_SkillAttribute(skill_id, skill_attribute_id) 
SELECT @skill_EF09CO01_id, @skill_attribute_D502_id WHERE SCHEMA() IN ('alura', 'aluraproduction');</v>
      </c>
    </row>
    <row r="319" spans="1:4" ht="15" customHeight="1">
      <c r="A319" s="21" t="s">
        <v>787</v>
      </c>
      <c r="B319" s="15" t="s">
        <v>788</v>
      </c>
      <c r="C319" s="16" t="s">
        <v>101</v>
      </c>
      <c r="D319" s="36" t="str">
        <f t="shared" si="4"/>
        <v>INSERT INTO SkillAttribute(code, title) 
SELECT 'D503', 'Identificar problemas que podem ser resolvidos com o uso de grafos.' 
WHERE NOT EXISTS (SELECT 1 FROM SkillAttribute WHERE code = 'D503') 
AND SCHEMA() IN ('alura', 'aluraproduction');
SET @skill_attribute_D503_id = (SELECT id FROM SkillAttribute WHERE code = 'D503');
INSERT INTO Skill_SkillAttribute(skill_id, skill_attribute_id) 
SELECT @skill_EF09CO01_id, @skill_attribute_D503_id WHERE SCHEMA() IN ('alura', 'aluraproduction');</v>
      </c>
    </row>
    <row r="320" spans="1:4" ht="15" customHeight="1">
      <c r="A320" s="21" t="s">
        <v>789</v>
      </c>
      <c r="B320" s="15" t="s">
        <v>790</v>
      </c>
      <c r="C320" s="16" t="s">
        <v>101</v>
      </c>
      <c r="D320" s="36" t="str">
        <f t="shared" si="4"/>
        <v>INSERT INTO SkillAttribute(code, title) 
SELECT 'D504', 'Compreender como grafos representam conexões entre elementos.' 
WHERE NOT EXISTS (SELECT 1 FROM SkillAttribute WHERE code = 'D504') 
AND SCHEMA() IN ('alura', 'aluraproduction');
SET @skill_attribute_D504_id = (SELECT id FROM SkillAttribute WHERE code = 'D504');
INSERT INTO Skill_SkillAttribute(skill_id, skill_attribute_id) 
SELECT @skill_EF09CO01_id, @skill_attribute_D504_id WHERE SCHEMA() IN ('alura', 'aluraproduction');</v>
      </c>
    </row>
    <row r="321" spans="1:4" ht="15" customHeight="1">
      <c r="A321" s="21" t="s">
        <v>791</v>
      </c>
      <c r="B321" s="15" t="s">
        <v>792</v>
      </c>
      <c r="C321" s="16" t="s">
        <v>101</v>
      </c>
      <c r="D321" s="36" t="str">
        <f t="shared" si="4"/>
        <v>INSERT INTO SkillAttribute(code, title) 
SELECT 'D505', 'Analisar contextos em que a representação por grafos é mais adequada do que por listas ou tabelas.' 
WHERE NOT EXISTS (SELECT 1 FROM SkillAttribute WHERE code = 'D505') 
AND SCHEMA() IN ('alura', 'aluraproduction');
SET @skill_attribute_D505_id = (SELECT id FROM SkillAttribute WHERE code = 'D505');
INSERT INTO Skill_SkillAttribute(skill_id, skill_attribute_id) 
SELECT @skill_EF09CO01_id, @skill_attribute_D505_id WHERE SCHEMA() IN ('alura', 'aluraproduction');</v>
      </c>
    </row>
    <row r="322" spans="1:4" ht="15" customHeight="1">
      <c r="A322" s="21" t="s">
        <v>793</v>
      </c>
      <c r="B322" s="15" t="s">
        <v>794</v>
      </c>
      <c r="C322" s="16" t="s">
        <v>101</v>
      </c>
      <c r="D322" s="36" t="str">
        <f t="shared" si="4"/>
        <v>INSERT INTO SkillAttribute(code, title) 
SELECT 'D506', 'Identificar trechos de código que percorrem ou manipulam estruturas em árvore.' 
WHERE NOT EXISTS (SELECT 1 FROM SkillAttribute WHERE code = 'D506') 
AND SCHEMA() IN ('alura', 'aluraproduction');
SET @skill_attribute_D506_id = (SELECT id FROM SkillAttribute WHERE code = 'D506');
INSERT INTO Skill_SkillAttribute(skill_id, skill_attribute_id) 
SELECT @skill_EF09CO01_id, @skill_attribute_D506_id WHERE SCHEMA() IN ('alura', 'aluraproduction');</v>
      </c>
    </row>
    <row r="323" spans="1:4" ht="15" customHeight="1">
      <c r="A323" s="21" t="s">
        <v>795</v>
      </c>
      <c r="B323" s="15" t="s">
        <v>796</v>
      </c>
      <c r="C323" s="16" t="s">
        <v>101</v>
      </c>
      <c r="D323" s="36" t="str">
        <f t="shared" ref="D323:D386" si="5">"INSERT INTO SkillAttribute(code, title) " &amp; CHAR(10) &amp;
"SELECT '" &amp; A323 &amp; "', '" &amp; SUBSTITUTE(B323, "'", "''") &amp; "' " &amp; CHAR(10) &amp;
"WHERE NOT EXISTS (SELECT 1 FROM SkillAttribute WHERE code = '" &amp; A323 &amp; "') " &amp; CHAR(10) &amp;
"AND SCHEMA() IN ('alura', 'aluraproduction');" &amp;
CHAR(10) &amp; CHAR(10) &amp;
"SET @skill_attribute_" &amp; A323 &amp; "_id = (SELECT id FROM SkillAttribute WHERE code = '" &amp; A323 &amp; "');" &amp;
CHAR(10) &amp; CHAR(10) &amp;
"INSERT INTO Skill_SkillAttribute(skill_id, skill_attribute_id) " &amp; CHAR(10) &amp;
"SELECT @skill_" &amp; C323 &amp; "_id, @skill_attribute_" &amp; A323 &amp; "_id WHERE SCHEMA() IN ('alura', 'aluraproduction');"</f>
        <v>INSERT INTO SkillAttribute(code, title) 
SELECT 'D507', 'Compreender algoritmos que utilizam grafos para resolver problemas.' 
WHERE NOT EXISTS (SELECT 1 FROM SkillAttribute WHERE code = 'D507') 
AND SCHEMA() IN ('alura', 'aluraproduction');
SET @skill_attribute_D507_id = (SELECT id FROM SkillAttribute WHERE code = 'D507');
INSERT INTO Skill_SkillAttribute(skill_id, skill_attribute_id) 
SELECT @skill_EF09CO01_id, @skill_attribute_D507_id WHERE SCHEMA() IN ('alura', 'aluraproduction');</v>
      </c>
    </row>
    <row r="324" spans="1:4" ht="15" customHeight="1">
      <c r="A324" s="21" t="s">
        <v>797</v>
      </c>
      <c r="B324" s="15" t="s">
        <v>798</v>
      </c>
      <c r="C324" s="16" t="s">
        <v>101</v>
      </c>
      <c r="D324" s="36" t="str">
        <f t="shared" si="5"/>
        <v>INSERT INTO SkillAttribute(code, title) 
SELECT 'D508', 'Analisar a coerência entre uma estrutura (grafo ou árvore) e seu algoritmo de resolução.' 
WHERE NOT EXISTS (SELECT 1 FROM SkillAttribute WHERE code = 'D508') 
AND SCHEMA() IN ('alura', 'aluraproduction');
SET @skill_attribute_D508_id = (SELECT id FROM SkillAttribute WHERE code = 'D508');
INSERT INTO Skill_SkillAttribute(skill_id, skill_attribute_id) 
SELECT @skill_EF09CO01_id, @skill_attribute_D508_id WHERE SCHEMA() IN ('alura', 'aluraproduction');</v>
      </c>
    </row>
    <row r="325" spans="1:4" ht="15" customHeight="1">
      <c r="A325" s="21" t="s">
        <v>799</v>
      </c>
      <c r="B325" s="15" t="s">
        <v>800</v>
      </c>
      <c r="C325" s="16" t="s">
        <v>101</v>
      </c>
      <c r="D325" s="36" t="str">
        <f t="shared" si="5"/>
        <v>INSERT INTO SkillAttribute(code, title) 
SELECT 'D509', 'Distinguir problemas que exigem a representação por grafos daqueles que exigem árvores.' 
WHERE NOT EXISTS (SELECT 1 FROM SkillAttribute WHERE code = 'D509') 
AND SCHEMA() IN ('alura', 'aluraproduction');
SET @skill_attribute_D509_id = (SELECT id FROM SkillAttribute WHERE code = 'D509');
INSERT INTO Skill_SkillAttribute(skill_id, skill_attribute_id) 
SELECT @skill_EF09CO01_id, @skill_attribute_D509_id WHERE SCHEMA() IN ('alura', 'aluraproduction');</v>
      </c>
    </row>
    <row r="326" spans="1:4" ht="15" customHeight="1">
      <c r="A326" s="21" t="s">
        <v>801</v>
      </c>
      <c r="B326" s="15" t="s">
        <v>802</v>
      </c>
      <c r="C326" s="16" t="s">
        <v>101</v>
      </c>
      <c r="D326" s="36" t="str">
        <f t="shared" si="5"/>
        <v>INSERT INTO SkillAttribute(code, title) 
SELECT 'D510', 'Compreender critérios para escolher entre diferentes estruturas de dados.' 
WHERE NOT EXISTS (SELECT 1 FROM SkillAttribute WHERE code = 'D510') 
AND SCHEMA() IN ('alura', 'aluraproduction');
SET @skill_attribute_D510_id = (SELECT id FROM SkillAttribute WHERE code = 'D510');
INSERT INTO Skill_SkillAttribute(skill_id, skill_attribute_id) 
SELECT @skill_EF09CO01_id, @skill_attribute_D510_id WHERE SCHEMA() IN ('alura', 'aluraproduction');</v>
      </c>
    </row>
    <row r="327" spans="1:4" ht="15" customHeight="1">
      <c r="A327" s="21" t="s">
        <v>803</v>
      </c>
      <c r="B327" s="15" t="s">
        <v>804</v>
      </c>
      <c r="C327" s="16" t="s">
        <v>101</v>
      </c>
      <c r="D327" s="36" t="str">
        <f t="shared" si="5"/>
        <v>INSERT INTO SkillAttribute(code, title) 
SELECT 'D511', 'Analisar a adequação de uma estrutura de dados à natureza do problema.' 
WHERE NOT EXISTS (SELECT 1 FROM SkillAttribute WHERE code = 'D511') 
AND SCHEMA() IN ('alura', 'aluraproduction');
SET @skill_attribute_D511_id = (SELECT id FROM SkillAttribute WHERE code = 'D511');
INSERT INTO Skill_SkillAttribute(skill_id, skill_attribute_id) 
SELECT @skill_EF09CO01_id, @skill_attribute_D511_id WHERE SCHEMA() IN ('alura', 'aluraproduction');</v>
      </c>
    </row>
    <row r="328" spans="1:4" ht="15" customHeight="1">
      <c r="A328" s="20" t="s">
        <v>467</v>
      </c>
      <c r="B328" s="15" t="s">
        <v>468</v>
      </c>
      <c r="C328" s="16" t="s">
        <v>103</v>
      </c>
      <c r="D328" s="36" t="str">
        <f t="shared" si="5"/>
        <v>INSERT INTO SkillAttribute(code, title) 
SELECT 'D88', 'Identificar soluções computacionais de problemas de diferentes áreas do conhecimento.' 
WHERE NOT EXISTS (SELECT 1 FROM SkillAttribute WHERE code = 'D88') 
AND SCHEMA() IN ('alura', 'aluraproduction');
SET @skill_attribute_D88_id = (SELECT id FROM SkillAttribute WHERE code = 'D88');
INSERT INTO Skill_SkillAttribute(skill_id, skill_attribute_id) 
SELECT @skill_EF09CO02_id, @skill_attribute_D88_id WHERE SCHEMA() IN ('alura', 'aluraproduction');</v>
      </c>
    </row>
    <row r="329" spans="1:4" ht="15" customHeight="1">
      <c r="A329" s="20" t="s">
        <v>469</v>
      </c>
      <c r="B329" s="15" t="s">
        <v>470</v>
      </c>
      <c r="C329" s="16" t="s">
        <v>103</v>
      </c>
      <c r="D329" s="36" t="str">
        <f t="shared" si="5"/>
        <v>INSERT INTO SkillAttribute(code, title) 
SELECT 'D89', 'Analisar soluções computacionais de problemas de diferentes áreas do conhecimento.' 
WHERE NOT EXISTS (SELECT 1 FROM SkillAttribute WHERE code = 'D89') 
AND SCHEMA() IN ('alura', 'aluraproduction');
SET @skill_attribute_D89_id = (SELECT id FROM SkillAttribute WHERE code = 'D89');
INSERT INTO Skill_SkillAttribute(skill_id, skill_attribute_id) 
SELECT @skill_EF09CO02_id, @skill_attribute_D89_id WHERE SCHEMA() IN ('alura', 'aluraproduction');</v>
      </c>
    </row>
    <row r="330" spans="1:4" ht="15" customHeight="1">
      <c r="A330" s="20" t="s">
        <v>471</v>
      </c>
      <c r="B330" s="15" t="s">
        <v>472</v>
      </c>
      <c r="C330" s="16" t="s">
        <v>103</v>
      </c>
      <c r="D330" s="36" t="str">
        <f t="shared" si="5"/>
        <v>INSERT INTO SkillAttribute(code, title) 
SELECT 'D90', 'Reconhecer estruturas de dados.' 
WHERE NOT EXISTS (SELECT 1 FROM SkillAttribute WHERE code = 'D90') 
AND SCHEMA() IN ('alura', 'aluraproduction');
SET @skill_attribute_D90_id = (SELECT id FROM SkillAttribute WHERE code = 'D90');
INSERT INTO Skill_SkillAttribute(skill_id, skill_attribute_id) 
SELECT @skill_EF09CO02_id, @skill_attribute_D90_id WHERE SCHEMA() IN ('alura', 'aluraproduction');</v>
      </c>
    </row>
    <row r="331" spans="1:4" ht="15" customHeight="1">
      <c r="A331" s="20" t="s">
        <v>473</v>
      </c>
      <c r="B331" s="15" t="s">
        <v>474</v>
      </c>
      <c r="C331" s="16" t="s">
        <v>103</v>
      </c>
      <c r="D331" s="36" t="str">
        <f t="shared" si="5"/>
        <v>INSERT INTO SkillAttribute(code, title) 
SELECT 'D91', 'Analisar estruturas de dados.' 
WHERE NOT EXISTS (SELECT 1 FROM SkillAttribute WHERE code = 'D91') 
AND SCHEMA() IN ('alura', 'aluraproduction');
SET @skill_attribute_D91_id = (SELECT id FROM SkillAttribute WHERE code = 'D91');
INSERT INTO Skill_SkillAttribute(skill_id, skill_attribute_id) 
SELECT @skill_EF09CO02_id, @skill_attribute_D91_id WHERE SCHEMA() IN ('alura', 'aluraproduction');</v>
      </c>
    </row>
    <row r="332" spans="1:4" ht="15" customHeight="1">
      <c r="A332" s="20" t="s">
        <v>475</v>
      </c>
      <c r="B332" s="15" t="s">
        <v>476</v>
      </c>
      <c r="C332" s="16" t="s">
        <v>103</v>
      </c>
      <c r="D332" s="36" t="str">
        <f t="shared" si="5"/>
        <v>INSERT INTO SkillAttribute(code, title) 
SELECT 'D92', 'Identificar técnicas utilizadas em soluções computacionais.' 
WHERE NOT EXISTS (SELECT 1 FROM SkillAttribute WHERE code = 'D92') 
AND SCHEMA() IN ('alura', 'aluraproduction');
SET @skill_attribute_D92_id = (SELECT id FROM SkillAttribute WHERE code = 'D92');
INSERT INTO Skill_SkillAttribute(skill_id, skill_attribute_id) 
SELECT @skill_EF09CO02_id, @skill_attribute_D92_id WHERE SCHEMA() IN ('alura', 'aluraproduction');</v>
      </c>
    </row>
    <row r="333" spans="1:4" ht="15" customHeight="1">
      <c r="A333" s="20" t="s">
        <v>477</v>
      </c>
      <c r="B333" s="15" t="s">
        <v>478</v>
      </c>
      <c r="C333" s="16" t="s">
        <v>103</v>
      </c>
      <c r="D333" s="36" t="str">
        <f t="shared" si="5"/>
        <v>INSERT INTO SkillAttribute(code, title) 
SELECT 'D93', 'Interpretar técnicas utilizadas em soluções computacionais.' 
WHERE NOT EXISTS (SELECT 1 FROM SkillAttribute WHERE code = 'D93') 
AND SCHEMA() IN ('alura', 'aluraproduction');
SET @skill_attribute_D93_id = (SELECT id FROM SkillAttribute WHERE code = 'D93');
INSERT INTO Skill_SkillAttribute(skill_id, skill_attribute_id) 
SELECT @skill_EF09CO02_id, @skill_attribute_D93_id WHERE SCHEMA() IN ('alura', 'aluraproduction');</v>
      </c>
    </row>
    <row r="334" spans="1:4" ht="15" customHeight="1">
      <c r="A334" s="20" t="s">
        <v>479</v>
      </c>
      <c r="B334" s="15" t="s">
        <v>480</v>
      </c>
      <c r="C334" s="16" t="s">
        <v>103</v>
      </c>
      <c r="D334" s="36" t="str">
        <f t="shared" si="5"/>
        <v>INSERT INTO SkillAttribute(code, title) 
SELECT 'D94', 'Relacionar soluções computacionais aos saberes escolares.' 
WHERE NOT EXISTS (SELECT 1 FROM SkillAttribute WHERE code = 'D94') 
AND SCHEMA() IN ('alura', 'aluraproduction');
SET @skill_attribute_D94_id = (SELECT id FROM SkillAttribute WHERE code = 'D94');
INSERT INTO Skill_SkillAttribute(skill_id, skill_attribute_id) 
SELECT @skill_EF09CO02_id, @skill_attribute_D94_id WHERE SCHEMA() IN ('alura', 'aluraproduction');</v>
      </c>
    </row>
    <row r="335" spans="1:4" ht="15" customHeight="1">
      <c r="A335" s="20" t="s">
        <v>481</v>
      </c>
      <c r="B335" s="15" t="s">
        <v>482</v>
      </c>
      <c r="C335" s="16" t="s">
        <v>103</v>
      </c>
      <c r="D335" s="36" t="str">
        <f t="shared" si="5"/>
        <v>INSERT INTO SkillAttribute(code, title) 
SELECT 'D95', 'Relacionar técnicas computacionais ao tipo de problema que resolvem.' 
WHERE NOT EXISTS (SELECT 1 FROM SkillAttribute WHERE code = 'D95') 
AND SCHEMA() IN ('alura', 'aluraproduction');
SET @skill_attribute_D95_id = (SELECT id FROM SkillAttribute WHERE code = 'D95');
INSERT INTO Skill_SkillAttribute(skill_id, skill_attribute_id) 
SELECT @skill_EF09CO02_id, @skill_attribute_D95_id WHERE SCHEMA() IN ('alura', 'aluraproduction');</v>
      </c>
    </row>
    <row r="336" spans="1:4" ht="15" customHeight="1">
      <c r="A336" s="20" t="s">
        <v>483</v>
      </c>
      <c r="B336" s="15" t="s">
        <v>484</v>
      </c>
      <c r="C336" s="16" t="s">
        <v>103</v>
      </c>
      <c r="D336" s="36" t="str">
        <f t="shared" si="5"/>
        <v>INSERT INTO SkillAttribute(code, title) 
SELECT 'D96', 'Reconhecer etapas de desenvolvimento colaborativo em soluções computacionais.' 
WHERE NOT EXISTS (SELECT 1 FROM SkillAttribute WHERE code = 'D96') 
AND SCHEMA() IN ('alura', 'aluraproduction');
SET @skill_attribute_D96_id = (SELECT id FROM SkillAttribute WHERE code = 'D96');
INSERT INTO Skill_SkillAttribute(skill_id, skill_attribute_id) 
SELECT @skill_EF09CO02_id, @skill_attribute_D96_id WHERE SCHEMA() IN ('alura', 'aluraproduction');</v>
      </c>
    </row>
    <row r="337" spans="1:4" ht="15" customHeight="1">
      <c r="A337" s="20" t="s">
        <v>485</v>
      </c>
      <c r="B337" s="15" t="s">
        <v>486</v>
      </c>
      <c r="C337" s="16" t="s">
        <v>103</v>
      </c>
      <c r="D337" s="36" t="str">
        <f t="shared" si="5"/>
        <v>INSERT INTO SkillAttribute(code, title) 
SELECT 'D97', 'Analisar como conhecimentos de outras disciplinas contribuem para a construção de uma solução computacional.' 
WHERE NOT EXISTS (SELECT 1 FROM SkillAttribute WHERE code = 'D97') 
AND SCHEMA() IN ('alura', 'aluraproduction');
SET @skill_attribute_D97_id = (SELECT id FROM SkillAttribute WHERE code = 'D97');
INSERT INTO Skill_SkillAttribute(skill_id, skill_attribute_id) 
SELECT @skill_EF09CO02_id, @skill_attribute_D97_id WHERE SCHEMA() IN ('alura', 'aluraproduction');</v>
      </c>
    </row>
    <row r="338" spans="1:4" ht="15" customHeight="1">
      <c r="A338" s="20" t="s">
        <v>805</v>
      </c>
      <c r="B338" s="15" t="s">
        <v>806</v>
      </c>
      <c r="C338" s="16" t="s">
        <v>104</v>
      </c>
      <c r="D338" s="36" t="str">
        <f t="shared" si="5"/>
        <v>INSERT INTO SkillAttribute(code, title) 
SELECT 'D131', 'Compreender o conceito de autômatos.' 
WHERE NOT EXISTS (SELECT 1 FROM SkillAttribute WHERE code = 'D131') 
AND SCHEMA() IN ('alura', 'aluraproduction');
SET @skill_attribute_D131_id = (SELECT id FROM SkillAttribute WHERE code = 'D131');
INSERT INTO Skill_SkillAttribute(skill_id, skill_attribute_id) 
SELECT @skill_EF09CO03_id, @skill_attribute_D131_id WHERE SCHEMA() IN ('alura', 'aluraproduction');</v>
      </c>
    </row>
    <row r="339" spans="1:4" ht="15" customHeight="1">
      <c r="A339" s="20" t="s">
        <v>807</v>
      </c>
      <c r="B339" s="15" t="s">
        <v>808</v>
      </c>
      <c r="C339" s="16" t="s">
        <v>104</v>
      </c>
      <c r="D339" s="36" t="str">
        <f t="shared" si="5"/>
        <v>INSERT INTO SkillAttribute(code, title) 
SELECT 'D132', 'Identificar o uso de autômatos na descrição de comportamentos.' 
WHERE NOT EXISTS (SELECT 1 FROM SkillAttribute WHERE code = 'D132') 
AND SCHEMA() IN ('alura', 'aluraproduction');
SET @skill_attribute_D132_id = (SELECT id FROM SkillAttribute WHERE code = 'D132');
INSERT INTO Skill_SkillAttribute(skill_id, skill_attribute_id) 
SELECT @skill_EF09CO03_id, @skill_attribute_D132_id WHERE SCHEMA() IN ('alura', 'aluraproduction');</v>
      </c>
    </row>
    <row r="340" spans="1:4" ht="15" customHeight="1">
      <c r="A340" s="20" t="s">
        <v>809</v>
      </c>
      <c r="B340" s="15" t="s">
        <v>810</v>
      </c>
      <c r="C340" s="16" t="s">
        <v>104</v>
      </c>
      <c r="D340" s="36" t="str">
        <f t="shared" si="5"/>
        <v>INSERT INTO SkillAttribute(code, title) 
SELECT 'D133', 'Analisar o uso de autômatos na descrição de comportamentos.' 
WHERE NOT EXISTS (SELECT 1 FROM SkillAttribute WHERE code = 'D133') 
AND SCHEMA() IN ('alura', 'aluraproduction');
SET @skill_attribute_D133_id = (SELECT id FROM SkillAttribute WHERE code = 'D133');
INSERT INTO Skill_SkillAttribute(skill_id, skill_attribute_id) 
SELECT @skill_EF09CO03_id, @skill_attribute_D133_id WHERE SCHEMA() IN ('alura', 'aluraproduction');</v>
      </c>
    </row>
    <row r="341" spans="1:4" ht="15" customHeight="1">
      <c r="A341" s="20" t="s">
        <v>811</v>
      </c>
      <c r="B341" s="15" t="s">
        <v>812</v>
      </c>
      <c r="C341" s="16" t="s">
        <v>104</v>
      </c>
      <c r="D341" s="36" t="str">
        <f t="shared" si="5"/>
        <v>INSERT INTO SkillAttribute(code, title) 
SELECT 'D134', 'Compreender como autômatos representam comportamentos por meio de estados e transições.' 
WHERE NOT EXISTS (SELECT 1 FROM SkillAttribute WHERE code = 'D134') 
AND SCHEMA() IN ('alura', 'aluraproduction');
SET @skill_attribute_D134_id = (SELECT id FROM SkillAttribute WHERE code = 'D134');
INSERT INTO Skill_SkillAttribute(skill_id, skill_attribute_id) 
SELECT @skill_EF09CO03_id, @skill_attribute_D134_id WHERE SCHEMA() IN ('alura', 'aluraproduction');</v>
      </c>
    </row>
    <row r="342" spans="1:4" ht="15" customHeight="1">
      <c r="A342" s="20" t="s">
        <v>813</v>
      </c>
      <c r="B342" s="15" t="s">
        <v>814</v>
      </c>
      <c r="C342" s="16" t="s">
        <v>104</v>
      </c>
      <c r="D342" s="36" t="str">
        <f t="shared" si="5"/>
        <v>INSERT INTO SkillAttribute(code, title) 
SELECT 'D135', 'Analisar comportamentos representados por autômatos de estados.' 
WHERE NOT EXISTS (SELECT 1 FROM SkillAttribute WHERE code = 'D135') 
AND SCHEMA() IN ('alura', 'aluraproduction');
SET @skill_attribute_D135_id = (SELECT id FROM SkillAttribute WHERE code = 'D135');
INSERT INTO Skill_SkillAttribute(skill_id, skill_attribute_id) 
SELECT @skill_EF09CO03_id, @skill_attribute_D135_id WHERE SCHEMA() IN ('alura', 'aluraproduction');</v>
      </c>
    </row>
    <row r="343" spans="1:4" ht="15" customHeight="1">
      <c r="A343" s="20" t="s">
        <v>815</v>
      </c>
      <c r="B343" s="15" t="s">
        <v>816</v>
      </c>
      <c r="C343" s="16" t="s">
        <v>104</v>
      </c>
      <c r="D343" s="36" t="str">
        <f t="shared" si="5"/>
        <v>INSERT INTO SkillAttribute(code, title) 
SELECT 'D136', 'Compreender como comportamentos modelados em autômatos podem ser automatizados em uma linguagem de programação.' 
WHERE NOT EXISTS (SELECT 1 FROM SkillAttribute WHERE code = 'D136') 
AND SCHEMA() IN ('alura', 'aluraproduction');
SET @skill_attribute_D136_id = (SELECT id FROM SkillAttribute WHERE code = 'D136');
INSERT INTO Skill_SkillAttribute(skill_id, skill_attribute_id) 
SELECT @skill_EF09CO03_id, @skill_attribute_D136_id WHERE SCHEMA() IN ('alura', 'aluraproduction');</v>
      </c>
    </row>
    <row r="344" spans="1:4" ht="15" customHeight="1">
      <c r="A344" s="20" t="s">
        <v>817</v>
      </c>
      <c r="B344" s="15" t="s">
        <v>818</v>
      </c>
      <c r="C344" s="16" t="s">
        <v>104</v>
      </c>
      <c r="D344" s="36" t="str">
        <f t="shared" si="5"/>
        <v>INSERT INTO SkillAttribute(code, title) 
SELECT 'D137', 'Analisar programas que automatizam comportamentos descritos por autômatos.' 
WHERE NOT EXISTS (SELECT 1 FROM SkillAttribute WHERE code = 'D137') 
AND SCHEMA() IN ('alura', 'aluraproduction');
SET @skill_attribute_D137_id = (SELECT id FROM SkillAttribute WHERE code = 'D137');
INSERT INTO Skill_SkillAttribute(skill_id, skill_attribute_id) 
SELECT @skill_EF09CO03_id, @skill_attribute_D137_id WHERE SCHEMA() IN ('alura', 'aluraproduction');</v>
      </c>
    </row>
    <row r="345" spans="1:4" ht="15" customHeight="1">
      <c r="A345" s="20" t="s">
        <v>819</v>
      </c>
      <c r="B345" s="15" t="s">
        <v>820</v>
      </c>
      <c r="C345" s="16" t="s">
        <v>104</v>
      </c>
      <c r="D345" s="36" t="str">
        <f t="shared" si="5"/>
        <v>INSERT INTO SkillAttribute(code, title) 
SELECT 'D138', 'Compreender o funcionamento de linguagens de programação baseadas em eventos.' 
WHERE NOT EXISTS (SELECT 1 FROM SkillAttribute WHERE code = 'D138') 
AND SCHEMA() IN ('alura', 'aluraproduction');
SET @skill_attribute_D138_id = (SELECT id FROM SkillAttribute WHERE code = 'D138');
INSERT INTO Skill_SkillAttribute(skill_id, skill_attribute_id) 
SELECT @skill_EF09CO03_id, @skill_attribute_D138_id WHERE SCHEMA() IN ('alura', 'aluraproduction');</v>
      </c>
    </row>
    <row r="346" spans="1:4" ht="15" customHeight="1">
      <c r="A346" s="20" t="s">
        <v>821</v>
      </c>
      <c r="B346" s="15" t="s">
        <v>822</v>
      </c>
      <c r="C346" s="16" t="s">
        <v>104</v>
      </c>
      <c r="D346" s="36" t="str">
        <f t="shared" si="5"/>
        <v>INSERT INTO SkillAttribute(code, title) 
SELECT 'D139', 'Analisar linguagens de programação baseadas em eventos.' 
WHERE NOT EXISTS (SELECT 1 FROM SkillAttribute WHERE code = 'D139') 
AND SCHEMA() IN ('alura', 'aluraproduction');
SET @skill_attribute_D139_id = (SELECT id FROM SkillAttribute WHERE code = 'D139');
INSERT INTO Skill_SkillAttribute(skill_id, skill_attribute_id) 
SELECT @skill_EF09CO03_id, @skill_attribute_D139_id WHERE SCHEMA() IN ('alura', 'aluraproduction');</v>
      </c>
    </row>
    <row r="347" spans="1:4" ht="15" customHeight="1">
      <c r="A347" s="20" t="s">
        <v>823</v>
      </c>
      <c r="B347" s="15" t="s">
        <v>824</v>
      </c>
      <c r="C347" s="16" t="s">
        <v>104</v>
      </c>
      <c r="D347" s="36" t="str">
        <f t="shared" si="5"/>
        <v>INSERT INTO SkillAttribute(code, title) 
SELECT 'D140', 'Reconhecer os componentes de um autômato (estados, transições, eventos, ações).' 
WHERE NOT EXISTS (SELECT 1 FROM SkillAttribute WHERE code = 'D140') 
AND SCHEMA() IN ('alura', 'aluraproduction');
SET @skill_attribute_D140_id = (SELECT id FROM SkillAttribute WHERE code = 'D140');
INSERT INTO Skill_SkillAttribute(skill_id, skill_attribute_id) 
SELECT @skill_EF09CO03_id, @skill_attribute_D140_id WHERE SCHEMA() IN ('alura', 'aluraproduction');</v>
      </c>
    </row>
    <row r="348" spans="1:4" ht="15" customHeight="1">
      <c r="A348" s="20" t="s">
        <v>825</v>
      </c>
      <c r="B348" s="15" t="s">
        <v>826</v>
      </c>
      <c r="C348" s="16" t="s">
        <v>104</v>
      </c>
      <c r="D348" s="36" t="str">
        <f t="shared" si="5"/>
        <v>INSERT INTO SkillAttribute(code, title) 
SELECT 'D141', 'Relacionar um diagrama de autômato ao comportamento descrito em um programa.' 
WHERE NOT EXISTS (SELECT 1 FROM SkillAttribute WHERE code = 'D141') 
AND SCHEMA() IN ('alura', 'aluraproduction');
SET @skill_attribute_D141_id = (SELECT id FROM SkillAttribute WHERE code = 'D141');
INSERT INTO Skill_SkillAttribute(skill_id, skill_attribute_id) 
SELECT @skill_EF09CO03_id, @skill_attribute_D141_id WHERE SCHEMA() IN ('alura', 'aluraproduction');</v>
      </c>
    </row>
    <row r="349" spans="1:4" ht="15" customHeight="1">
      <c r="A349" s="20" t="s">
        <v>827</v>
      </c>
      <c r="B349" s="15" t="s">
        <v>828</v>
      </c>
      <c r="C349" s="16" t="s">
        <v>104</v>
      </c>
      <c r="D349" s="36" t="str">
        <f t="shared" si="5"/>
        <v>INSERT INTO SkillAttribute(code, title) 
SELECT 'D142', 'Identificar eventos que disparam transições em um sistema baseado em autômatos.' 
WHERE NOT EXISTS (SELECT 1 FROM SkillAttribute WHERE code = 'D142') 
AND SCHEMA() IN ('alura', 'aluraproduction');
SET @skill_attribute_D142_id = (SELECT id FROM SkillAttribute WHERE code = 'D142');
INSERT INTO Skill_SkillAttribute(skill_id, skill_attribute_id) 
SELECT @skill_EF09CO03_id, @skill_attribute_D142_id WHERE SCHEMA() IN ('alura', 'aluraproduction');</v>
      </c>
    </row>
    <row r="350" spans="1:4" ht="15" customHeight="1">
      <c r="A350" s="20" t="s">
        <v>829</v>
      </c>
      <c r="B350" s="15" t="s">
        <v>830</v>
      </c>
      <c r="C350" s="16" t="s">
        <v>104</v>
      </c>
      <c r="D350" s="36" t="str">
        <f t="shared" si="5"/>
        <v>INSERT INTO SkillAttribute(code, title) 
SELECT 'D143', 'Comparar um programa com e sem uso de autômatos na organização de comportamentos.' 
WHERE NOT EXISTS (SELECT 1 FROM SkillAttribute WHERE code = 'D143') 
AND SCHEMA() IN ('alura', 'aluraproduction');
SET @skill_attribute_D143_id = (SELECT id FROM SkillAttribute WHERE code = 'D143');
INSERT INTO Skill_SkillAttribute(skill_id, skill_attribute_id) 
SELECT @skill_EF09CO03_id, @skill_attribute_D143_id WHERE SCHEMA() IN ('alura', 'aluraproduction');</v>
      </c>
    </row>
    <row r="351" spans="1:4" ht="15" customHeight="1">
      <c r="A351" s="21" t="s">
        <v>831</v>
      </c>
      <c r="B351" s="15" t="s">
        <v>832</v>
      </c>
      <c r="C351" s="16" t="s">
        <v>106</v>
      </c>
      <c r="D351" s="36" t="str">
        <f t="shared" si="5"/>
        <v>INSERT INTO SkillAttribute(code, title) 
SELECT 'D526', 'Identificar diferentes tipos de malwares.' 
WHERE NOT EXISTS (SELECT 1 FROM SkillAttribute WHERE code = 'D526') 
AND SCHEMA() IN ('alura', 'aluraproduction');
SET @skill_attribute_D526_id = (SELECT id FROM SkillAttribute WHERE code = 'D526');
INSERT INTO Skill_SkillAttribute(skill_id, skill_attribute_id) 
SELECT @skill_EF09CO04_id, @skill_attribute_D526_id WHERE SCHEMA() IN ('alura', 'aluraproduction');</v>
      </c>
    </row>
    <row r="352" spans="1:4" ht="15" customHeight="1">
      <c r="A352" s="21" t="s">
        <v>833</v>
      </c>
      <c r="B352" s="15" t="s">
        <v>834</v>
      </c>
      <c r="C352" s="16" t="s">
        <v>106</v>
      </c>
      <c r="D352" s="36" t="str">
        <f t="shared" si="5"/>
        <v>INSERT INTO SkillAttribute(code, title) 
SELECT 'D527', 'Identificar os efeitos que um malware pode causar em dispositivos.' 
WHERE NOT EXISTS (SELECT 1 FROM SkillAttribute WHERE code = 'D527') 
AND SCHEMA() IN ('alura', 'aluraproduction');
SET @skill_attribute_D527_id = (SELECT id FROM SkillAttribute WHERE code = 'D527');
INSERT INTO Skill_SkillAttribute(skill_id, skill_attribute_id) 
SELECT @skill_EF09CO04_id, @skill_attribute_D527_id WHERE SCHEMA() IN ('alura', 'aluraproduction');</v>
      </c>
    </row>
    <row r="353" spans="1:4" ht="15" customHeight="1">
      <c r="A353" s="21" t="s">
        <v>835</v>
      </c>
      <c r="B353" s="15" t="s">
        <v>836</v>
      </c>
      <c r="C353" s="16" t="s">
        <v>106</v>
      </c>
      <c r="D353" s="36" t="str">
        <f t="shared" si="5"/>
        <v>INSERT INTO SkillAttribute(code, title) 
SELECT 'D528', 'Compreender o funcionamento de malwares em contextos digitais.' 
WHERE NOT EXISTS (SELECT 1 FROM SkillAttribute WHERE code = 'D528') 
AND SCHEMA() IN ('alura', 'aluraproduction');
SET @skill_attribute_D528_id = (SELECT id FROM SkillAttribute WHERE code = 'D528');
INSERT INTO Skill_SkillAttribute(skill_id, skill_attribute_id) 
SELECT @skill_EF09CO04_id, @skill_attribute_D528_id WHERE SCHEMA() IN ('alura', 'aluraproduction');</v>
      </c>
    </row>
    <row r="354" spans="1:4" ht="15" customHeight="1">
      <c r="A354" s="21" t="s">
        <v>837</v>
      </c>
      <c r="B354" s="15" t="s">
        <v>838</v>
      </c>
      <c r="C354" s="16" t="s">
        <v>106</v>
      </c>
      <c r="D354" s="36" t="str">
        <f t="shared" si="5"/>
        <v>INSERT INTO SkillAttribute(code, title) 
SELECT 'D529', 'Analisar o impacto da ação de um malware em um sistema.' 
WHERE NOT EXISTS (SELECT 1 FROM SkillAttribute WHERE code = 'D529') 
AND SCHEMA() IN ('alura', 'aluraproduction');
SET @skill_attribute_D529_id = (SELECT id FROM SkillAttribute WHERE code = 'D529');
INSERT INTO Skill_SkillAttribute(skill_id, skill_attribute_id) 
SELECT @skill_EF09CO04_id, @skill_attribute_D529_id WHERE SCHEMA() IN ('alura', 'aluraproduction');</v>
      </c>
    </row>
    <row r="355" spans="1:4" ht="15" customHeight="1">
      <c r="A355" s="21" t="s">
        <v>839</v>
      </c>
      <c r="B355" s="15" t="s">
        <v>840</v>
      </c>
      <c r="C355" s="16" t="s">
        <v>106</v>
      </c>
      <c r="D355" s="36" t="str">
        <f t="shared" si="5"/>
        <v>INSERT INTO SkillAttribute(code, title) 
SELECT 'D530', 'Identificar formas comuns de ataques cibernéticos.' 
WHERE NOT EXISTS (SELECT 1 FROM SkillAttribute WHERE code = 'D530') 
AND SCHEMA() IN ('alura', 'aluraproduction');
SET @skill_attribute_D530_id = (SELECT id FROM SkillAttribute WHERE code = 'D530');
INSERT INTO Skill_SkillAttribute(skill_id, skill_attribute_id) 
SELECT @skill_EF09CO04_id, @skill_attribute_D530_id WHERE SCHEMA() IN ('alura', 'aluraproduction');</v>
      </c>
    </row>
    <row r="356" spans="1:4" ht="15" customHeight="1">
      <c r="A356" s="21" t="s">
        <v>841</v>
      </c>
      <c r="B356" s="15" t="s">
        <v>842</v>
      </c>
      <c r="C356" s="16" t="s">
        <v>106</v>
      </c>
      <c r="D356" s="36" t="str">
        <f t="shared" si="5"/>
        <v>INSERT INTO SkillAttribute(code, title) 
SELECT 'D531', 'Compreender o funcionamento de um ataque de phishing.' 
WHERE NOT EXISTS (SELECT 1 FROM SkillAttribute WHERE code = 'D531') 
AND SCHEMA() IN ('alura', 'aluraproduction');
SET @skill_attribute_D531_id = (SELECT id FROM SkillAttribute WHERE code = 'D531');
INSERT INTO Skill_SkillAttribute(skill_id, skill_attribute_id) 
SELECT @skill_EF09CO04_id, @skill_attribute_D531_id WHERE SCHEMA() IN ('alura', 'aluraproduction');</v>
      </c>
    </row>
    <row r="357" spans="1:4" ht="15" customHeight="1">
      <c r="A357" s="21" t="s">
        <v>843</v>
      </c>
      <c r="B357" s="15" t="s">
        <v>844</v>
      </c>
      <c r="C357" s="16" t="s">
        <v>106</v>
      </c>
      <c r="D357" s="36" t="str">
        <f t="shared" si="5"/>
        <v>INSERT INTO SkillAttribute(code, title) 
SELECT 'D532', 'Compreender o funcionamento de um ataque de engenharia social.' 
WHERE NOT EXISTS (SELECT 1 FROM SkillAttribute WHERE code = 'D532') 
AND SCHEMA() IN ('alura', 'aluraproduction');
SET @skill_attribute_D532_id = (SELECT id FROM SkillAttribute WHERE code = 'D532');
INSERT INTO Skill_SkillAttribute(skill_id, skill_attribute_id) 
SELECT @skill_EF09CO04_id, @skill_attribute_D532_id WHERE SCHEMA() IN ('alura', 'aluraproduction');</v>
      </c>
    </row>
    <row r="358" spans="1:4" ht="15" customHeight="1">
      <c r="A358" s="21" t="s">
        <v>845</v>
      </c>
      <c r="B358" s="15" t="s">
        <v>846</v>
      </c>
      <c r="C358" s="16" t="s">
        <v>106</v>
      </c>
      <c r="D358" s="36" t="str">
        <f t="shared" si="5"/>
        <v>INSERT INTO SkillAttribute(code, title) 
SELECT 'D533', 'Analisar situações que envolvem ataques cibernéticos.' 
WHERE NOT EXISTS (SELECT 1 FROM SkillAttribute WHERE code = 'D533') 
AND SCHEMA() IN ('alura', 'aluraproduction');
SET @skill_attribute_D533_id = (SELECT id FROM SkillAttribute WHERE code = 'D533');
INSERT INTO Skill_SkillAttribute(skill_id, skill_attribute_id) 
SELECT @skill_EF09CO04_id, @skill_attribute_D533_id WHERE SCHEMA() IN ('alura', 'aluraproduction');</v>
      </c>
    </row>
    <row r="359" spans="1:4" ht="15" customHeight="1">
      <c r="A359" s="21" t="s">
        <v>847</v>
      </c>
      <c r="B359" s="15" t="s">
        <v>848</v>
      </c>
      <c r="C359" s="16" t="s">
        <v>106</v>
      </c>
      <c r="D359" s="36" t="str">
        <f t="shared" si="5"/>
        <v>INSERT INTO SkillAttribute(code, title) 
SELECT 'D534', 'Identificar comportamentos de risco no uso de tecnologias.' 
WHERE NOT EXISTS (SELECT 1 FROM SkillAttribute WHERE code = 'D534') 
AND SCHEMA() IN ('alura', 'aluraproduction');
SET @skill_attribute_D534_id = (SELECT id FROM SkillAttribute WHERE code = 'D534');
INSERT INTO Skill_SkillAttribute(skill_id, skill_attribute_id) 
SELECT @skill_EF09CO04_id, @skill_attribute_D534_id WHERE SCHEMA() IN ('alura', 'aluraproduction');</v>
      </c>
    </row>
    <row r="360" spans="1:4" ht="15" customHeight="1">
      <c r="A360" s="21" t="s">
        <v>849</v>
      </c>
      <c r="B360" s="15" t="s">
        <v>850</v>
      </c>
      <c r="C360" s="16" t="s">
        <v>106</v>
      </c>
      <c r="D360" s="36" t="str">
        <f t="shared" si="5"/>
        <v>INSERT INTO SkillAttribute(code, title) 
SELECT 'D535', 'Compreender boas práticas para prevenção de ataques cibernéticos.' 
WHERE NOT EXISTS (SELECT 1 FROM SkillAttribute WHERE code = 'D535') 
AND SCHEMA() IN ('alura', 'aluraproduction');
SET @skill_attribute_D535_id = (SELECT id FROM SkillAttribute WHERE code = 'D535');
INSERT INTO Skill_SkillAttribute(skill_id, skill_attribute_id) 
SELECT @skill_EF09CO04_id, @skill_attribute_D535_id WHERE SCHEMA() IN ('alura', 'aluraproduction');</v>
      </c>
    </row>
    <row r="361" spans="1:4" ht="15" customHeight="1">
      <c r="A361" s="21" t="s">
        <v>851</v>
      </c>
      <c r="B361" s="15" t="s">
        <v>852</v>
      </c>
      <c r="C361" s="16" t="s">
        <v>106</v>
      </c>
      <c r="D361" s="36" t="str">
        <f t="shared" si="5"/>
        <v>INSERT INTO SkillAttribute(code, title) 
SELECT 'D536', 'Analisar comportamentos que contribuem para a segurança digital.' 
WHERE NOT EXISTS (SELECT 1 FROM SkillAttribute WHERE code = 'D536') 
AND SCHEMA() IN ('alura', 'aluraproduction');
SET @skill_attribute_D536_id = (SELECT id FROM SkillAttribute WHERE code = 'D536');
INSERT INTO Skill_SkillAttribute(skill_id, skill_attribute_id) 
SELECT @skill_EF09CO04_id, @skill_attribute_D536_id WHERE SCHEMA() IN ('alura', 'aluraproduction');</v>
      </c>
    </row>
    <row r="362" spans="1:4" ht="15" customHeight="1">
      <c r="A362" s="21" t="s">
        <v>853</v>
      </c>
      <c r="B362" s="15" t="s">
        <v>854</v>
      </c>
      <c r="C362" s="16" t="s">
        <v>106</v>
      </c>
      <c r="D362" s="36" t="str">
        <f t="shared" si="5"/>
        <v>INSERT INTO SkillAttribute(code, title) 
SELECT 'D537', 'Compreender o conceito de malware.' 
WHERE NOT EXISTS (SELECT 1 FROM SkillAttribute WHERE code = 'D537') 
AND SCHEMA() IN ('alura', 'aluraproduction');
SET @skill_attribute_D537_id = (SELECT id FROM SkillAttribute WHERE code = 'D537');
INSERT INTO Skill_SkillAttribute(skill_id, skill_attribute_id) 
SELECT @skill_EF09CO04_id, @skill_attribute_D537_id WHERE SCHEMA() IN ('alura', 'aluraproduction');</v>
      </c>
    </row>
    <row r="363" spans="1:4" ht="15" customHeight="1">
      <c r="A363" s="21" t="s">
        <v>855</v>
      </c>
      <c r="B363" s="15" t="s">
        <v>856</v>
      </c>
      <c r="C363" s="16" t="s">
        <v>106</v>
      </c>
      <c r="D363" s="36" t="str">
        <f t="shared" si="5"/>
        <v>INSERT INTO SkillAttribute(code, title) 
SELECT 'D538', 'Compreender o conceito de ataques cibernéticos.' 
WHERE NOT EXISTS (SELECT 1 FROM SkillAttribute WHERE code = 'D538') 
AND SCHEMA() IN ('alura', 'aluraproduction');
SET @skill_attribute_D538_id = (SELECT id FROM SkillAttribute WHERE code = 'D538');
INSERT INTO Skill_SkillAttribute(skill_id, skill_attribute_id) 
SELECT @skill_EF09CO04_id, @skill_attribute_D538_id WHERE SCHEMA() IN ('alura', 'aluraproduction');</v>
      </c>
    </row>
    <row r="364" spans="1:4" ht="15" customHeight="1">
      <c r="A364" s="21" t="s">
        <v>857</v>
      </c>
      <c r="B364" s="15" t="s">
        <v>858</v>
      </c>
      <c r="C364" s="16" t="s">
        <v>106</v>
      </c>
      <c r="D364" s="36" t="str">
        <f t="shared" si="5"/>
        <v>INSERT INTO SkillAttribute(code, title) 
SELECT 'D539', 'Analisar como uma ameaça digital afeta um sistema.' 
WHERE NOT EXISTS (SELECT 1 FROM SkillAttribute WHERE code = 'D539') 
AND SCHEMA() IN ('alura', 'aluraproduction');
SET @skill_attribute_D539_id = (SELECT id FROM SkillAttribute WHERE code = 'D539');
INSERT INTO Skill_SkillAttribute(skill_id, skill_attribute_id) 
SELECT @skill_EF09CO04_id, @skill_attribute_D539_id WHERE SCHEMA() IN ('alura', 'aluraproduction');</v>
      </c>
    </row>
    <row r="365" spans="1:4" ht="15" customHeight="1">
      <c r="A365" s="20" t="s">
        <v>859</v>
      </c>
      <c r="B365" s="15" t="s">
        <v>860</v>
      </c>
      <c r="C365" s="16" t="s">
        <v>108</v>
      </c>
      <c r="D365" s="36" t="str">
        <f t="shared" si="5"/>
        <v>INSERT INTO SkillAttribute(code, title) 
SELECT 'D192', 'Compreender os conceitos básicos da criptografia, como chave, cifra e descriptografia.' 
WHERE NOT EXISTS (SELECT 1 FROM SkillAttribute WHERE code = 'D192') 
AND SCHEMA() IN ('alura', 'aluraproduction');
SET @skill_attribute_D192_id = (SELECT id FROM SkillAttribute WHERE code = 'D192');
INSERT INTO Skill_SkillAttribute(skill_id, skill_attribute_id) 
SELECT @skill_EF09CO05_id, @skill_attribute_D192_id WHERE SCHEMA() IN ('alura', 'aluraproduction');</v>
      </c>
    </row>
    <row r="366" spans="1:4" ht="15" customHeight="1">
      <c r="A366" s="20" t="s">
        <v>861</v>
      </c>
      <c r="B366" s="15" t="s">
        <v>862</v>
      </c>
      <c r="C366" s="16" t="s">
        <v>108</v>
      </c>
      <c r="D366" s="36" t="str">
        <f t="shared" si="5"/>
        <v>INSERT INTO SkillAttribute(code, title) 
SELECT 'D193', 'Compreender a lógica de funcionamento da criptografia simétrica.' 
WHERE NOT EXISTS (SELECT 1 FROM SkillAttribute WHERE code = 'D193') 
AND SCHEMA() IN ('alura', 'aluraproduction');
SET @skill_attribute_D193_id = (SELECT id FROM SkillAttribute WHERE code = 'D193');
INSERT INTO Skill_SkillAttribute(skill_id, skill_attribute_id) 
SELECT @skill_EF09CO05_id, @skill_attribute_D193_id WHERE SCHEMA() IN ('alura', 'aluraproduction');</v>
      </c>
    </row>
    <row r="367" spans="1:4" ht="15" customHeight="1">
      <c r="A367" s="20" t="s">
        <v>863</v>
      </c>
      <c r="B367" s="15" t="s">
        <v>864</v>
      </c>
      <c r="C367" s="16" t="s">
        <v>108</v>
      </c>
      <c r="D367" s="36" t="str">
        <f t="shared" si="5"/>
        <v>INSERT INTO SkillAttribute(code, title) 
SELECT 'D194', 'Compreender a lógica de funcionamento da criptografia assimétrica.' 
WHERE NOT EXISTS (SELECT 1 FROM SkillAttribute WHERE code = 'D194') 
AND SCHEMA() IN ('alura', 'aluraproduction');
SET @skill_attribute_D194_id = (SELECT id FROM SkillAttribute WHERE code = 'D194');
INSERT INTO Skill_SkillAttribute(skill_id, skill_attribute_id) 
SELECT @skill_EF09CO05_id, @skill_attribute_D194_id WHERE SCHEMA() IN ('alura', 'aluraproduction');</v>
      </c>
    </row>
    <row r="368" spans="1:4" ht="15" customHeight="1">
      <c r="A368" s="20" t="s">
        <v>865</v>
      </c>
      <c r="B368" s="15" t="s">
        <v>866</v>
      </c>
      <c r="C368" s="16" t="s">
        <v>108</v>
      </c>
      <c r="D368" s="36" t="str">
        <f t="shared" si="5"/>
        <v>INSERT INTO SkillAttribute(code, title) 
SELECT 'D195', 'Analisar técnicas de criptografia.' 
WHERE NOT EXISTS (SELECT 1 FROM SkillAttribute WHERE code = 'D195') 
AND SCHEMA() IN ('alura', 'aluraproduction');
SET @skill_attribute_D195_id = (SELECT id FROM SkillAttribute WHERE code = 'D195');
INSERT INTO Skill_SkillAttribute(skill_id, skill_attribute_id) 
SELECT @skill_EF09CO05_id, @skill_attribute_D195_id WHERE SCHEMA() IN ('alura', 'aluraproduction');</v>
      </c>
    </row>
    <row r="369" spans="1:4" ht="15" customHeight="1">
      <c r="A369" s="20" t="s">
        <v>867</v>
      </c>
      <c r="B369" s="15" t="s">
        <v>868</v>
      </c>
      <c r="C369" s="16" t="s">
        <v>108</v>
      </c>
      <c r="D369" s="36" t="str">
        <f t="shared" si="5"/>
        <v>INSERT INTO SkillAttribute(code, title) 
SELECT 'D196', 'Analisar o uso da criptografia no armazenamento de dados.' 
WHERE NOT EXISTS (SELECT 1 FROM SkillAttribute WHERE code = 'D196') 
AND SCHEMA() IN ('alura', 'aluraproduction');
SET @skill_attribute_D196_id = (SELECT id FROM SkillAttribute WHERE code = 'D196');
INSERT INTO Skill_SkillAttribute(skill_id, skill_attribute_id) 
SELECT @skill_EF09CO05_id, @skill_attribute_D196_id WHERE SCHEMA() IN ('alura', 'aluraproduction');</v>
      </c>
    </row>
    <row r="370" spans="1:4" ht="15" customHeight="1">
      <c r="A370" s="20" t="s">
        <v>869</v>
      </c>
      <c r="B370" s="15" t="s">
        <v>870</v>
      </c>
      <c r="C370" s="16" t="s">
        <v>108</v>
      </c>
      <c r="D370" s="36" t="str">
        <f t="shared" si="5"/>
        <v>INSERT INTO SkillAttribute(code, title) 
SELECT 'D197', 'Analisar o uso da criptografia na transmissão de dados.' 
WHERE NOT EXISTS (SELECT 1 FROM SkillAttribute WHERE code = 'D197') 
AND SCHEMA() IN ('alura', 'aluraproduction');
SET @skill_attribute_D197_id = (SELECT id FROM SkillAttribute WHERE code = 'D197');
INSERT INTO Skill_SkillAttribute(skill_id, skill_attribute_id) 
SELECT @skill_EF09CO05_id, @skill_attribute_D197_id WHERE SCHEMA() IN ('alura', 'aluraproduction');</v>
      </c>
    </row>
    <row r="371" spans="1:4" ht="15" customHeight="1">
      <c r="A371" s="20" t="s">
        <v>871</v>
      </c>
      <c r="B371" s="15" t="s">
        <v>872</v>
      </c>
      <c r="C371" s="16" t="s">
        <v>108</v>
      </c>
      <c r="D371" s="36" t="str">
        <f t="shared" si="5"/>
        <v>INSERT INTO SkillAttribute(code, title) 
SELECT 'D198', 'Analisar algoritmos de criptografia simétrica.' 
WHERE NOT EXISTS (SELECT 1 FROM SkillAttribute WHERE code = 'D198') 
AND SCHEMA() IN ('alura', 'aluraproduction');
SET @skill_attribute_D198_id = (SELECT id FROM SkillAttribute WHERE code = 'D198');
INSERT INTO Skill_SkillAttribute(skill_id, skill_attribute_id) 
SELECT @skill_EF09CO05_id, @skill_attribute_D198_id WHERE SCHEMA() IN ('alura', 'aluraproduction');</v>
      </c>
    </row>
    <row r="372" spans="1:4" ht="15" customHeight="1">
      <c r="A372" s="20" t="s">
        <v>873</v>
      </c>
      <c r="B372" s="15" t="s">
        <v>874</v>
      </c>
      <c r="C372" s="16" t="s">
        <v>108</v>
      </c>
      <c r="D372" s="36" t="str">
        <f t="shared" si="5"/>
        <v>INSERT INTO SkillAttribute(code, title) 
SELECT 'D199', 'Compreender o uso de funções hash.' 
WHERE NOT EXISTS (SELECT 1 FROM SkillAttribute WHERE code = 'D199') 
AND SCHEMA() IN ('alura', 'aluraproduction');
SET @skill_attribute_D199_id = (SELECT id FROM SkillAttribute WHERE code = 'D199');
INSERT INTO Skill_SkillAttribute(skill_id, skill_attribute_id) 
SELECT @skill_EF09CO05_id, @skill_attribute_D199_id WHERE SCHEMA() IN ('alura', 'aluraproduction');</v>
      </c>
    </row>
    <row r="373" spans="1:4" ht="15" customHeight="1">
      <c r="A373" s="20" t="s">
        <v>875</v>
      </c>
      <c r="B373" s="15" t="s">
        <v>876</v>
      </c>
      <c r="C373" s="16" t="s">
        <v>108</v>
      </c>
      <c r="D373" s="36" t="str">
        <f t="shared" si="5"/>
        <v>INSERT INTO SkillAttribute(code, title) 
SELECT 'D200', 'Analisar técnicas de geração de chaves criptográficas.' 
WHERE NOT EXISTS (SELECT 1 FROM SkillAttribute WHERE code = 'D200') 
AND SCHEMA() IN ('alura', 'aluraproduction');
SET @skill_attribute_D200_id = (SELECT id FROM SkillAttribute WHERE code = 'D200');
INSERT INTO Skill_SkillAttribute(skill_id, skill_attribute_id) 
SELECT @skill_EF09CO05_id, @skill_attribute_D200_id WHERE SCHEMA() IN ('alura', 'aluraproduction');</v>
      </c>
    </row>
    <row r="374" spans="1:4" ht="15" customHeight="1">
      <c r="A374" s="20" t="s">
        <v>877</v>
      </c>
      <c r="B374" s="15" t="s">
        <v>878</v>
      </c>
      <c r="C374" s="16" t="s">
        <v>108</v>
      </c>
      <c r="D374" s="36" t="str">
        <f t="shared" si="5"/>
        <v>INSERT INTO SkillAttribute(code, title) 
SELECT 'D201', 'Analisar técnicas de distribuição de chaves criptográficas.' 
WHERE NOT EXISTS (SELECT 1 FROM SkillAttribute WHERE code = 'D201') 
AND SCHEMA() IN ('alura', 'aluraproduction');
SET @skill_attribute_D201_id = (SELECT id FROM SkillAttribute WHERE code = 'D201');
INSERT INTO Skill_SkillAttribute(skill_id, skill_attribute_id) 
SELECT @skill_EF09CO05_id, @skill_attribute_D201_id WHERE SCHEMA() IN ('alura', 'aluraproduction');</v>
      </c>
    </row>
    <row r="375" spans="1:4" ht="15" customHeight="1">
      <c r="A375" s="20" t="s">
        <v>879</v>
      </c>
      <c r="B375" s="15" t="s">
        <v>880</v>
      </c>
      <c r="C375" s="16" t="s">
        <v>108</v>
      </c>
      <c r="D375" s="36" t="str">
        <f t="shared" si="5"/>
        <v>INSERT INTO SkillAttribute(code, title) 
SELECT 'D202', 'Compreender o papel dos protocolos de segurança na proteção de dados criptografados.' 
WHERE NOT EXISTS (SELECT 1 FROM SkillAttribute WHERE code = 'D202') 
AND SCHEMA() IN ('alura', 'aluraproduction');
SET @skill_attribute_D202_id = (SELECT id FROM SkillAttribute WHERE code = 'D202');
INSERT INTO Skill_SkillAttribute(skill_id, skill_attribute_id) 
SELECT @skill_EF09CO05_id, @skill_attribute_D202_id WHERE SCHEMA() IN ('alura', 'aluraproduction');</v>
      </c>
    </row>
    <row r="376" spans="1:4" ht="15" customHeight="1">
      <c r="A376" s="20" t="s">
        <v>881</v>
      </c>
      <c r="B376" s="15" t="s">
        <v>882</v>
      </c>
      <c r="C376" s="16" t="s">
        <v>108</v>
      </c>
      <c r="D376" s="36" t="str">
        <f t="shared" si="5"/>
        <v>INSERT INTO SkillAttribute(code, title) 
SELECT 'D203', 'Reconhecer quando a criptografia é aplicada a dados armazenados ou transmitidos.' 
WHERE NOT EXISTS (SELECT 1 FROM SkillAttribute WHERE code = 'D203') 
AND SCHEMA() IN ('alura', 'aluraproduction');
SET @skill_attribute_D203_id = (SELECT id FROM SkillAttribute WHERE code = 'D203');
INSERT INTO Skill_SkillAttribute(skill_id, skill_attribute_id) 
SELECT @skill_EF09CO05_id, @skill_attribute_D203_id WHERE SCHEMA() IN ('alura', 'aluraproduction');</v>
      </c>
    </row>
    <row r="377" spans="1:4" ht="15" customHeight="1">
      <c r="A377" s="20" t="s">
        <v>883</v>
      </c>
      <c r="B377" s="15" t="s">
        <v>884</v>
      </c>
      <c r="C377" s="16" t="s">
        <v>108</v>
      </c>
      <c r="D377" s="36" t="str">
        <f t="shared" si="5"/>
        <v>INSERT INTO SkillAttribute(code, title) 
SELECT 'D204', 'Relacionar o tipo de criptografia ao cenário de uso (armazenamento, autenticação, comunicação).' 
WHERE NOT EXISTS (SELECT 1 FROM SkillAttribute WHERE code = 'D204') 
AND SCHEMA() IN ('alura', 'aluraproduction');
SET @skill_attribute_D204_id = (SELECT id FROM SkillAttribute WHERE code = 'D204');
INSERT INTO Skill_SkillAttribute(skill_id, skill_attribute_id) 
SELECT @skill_EF09CO05_id, @skill_attribute_D204_id WHERE SCHEMA() IN ('alura', 'aluraproduction');</v>
      </c>
    </row>
    <row r="378" spans="1:4" ht="15" customHeight="1">
      <c r="A378" s="20" t="s">
        <v>885</v>
      </c>
      <c r="B378" s="15" t="s">
        <v>886</v>
      </c>
      <c r="C378" s="16" t="s">
        <v>108</v>
      </c>
      <c r="D378" s="36" t="str">
        <f t="shared" si="5"/>
        <v>INSERT INTO SkillAttribute(code, title) 
SELECT 'D205', 'Diferenciar criptografia simétrica e assimétrica quanto ao uso das chaves.' 
WHERE NOT EXISTS (SELECT 1 FROM SkillAttribute WHERE code = 'D205') 
AND SCHEMA() IN ('alura', 'aluraproduction');
SET @skill_attribute_D205_id = (SELECT id FROM SkillAttribute WHERE code = 'D205');
INSERT INTO Skill_SkillAttribute(skill_id, skill_attribute_id) 
SELECT @skill_EF09CO05_id, @skill_attribute_D205_id WHERE SCHEMA() IN ('alura', 'aluraproduction');</v>
      </c>
    </row>
    <row r="379" spans="1:4" ht="15" customHeight="1">
      <c r="A379" s="20" t="s">
        <v>887</v>
      </c>
      <c r="B379" s="15" t="s">
        <v>888</v>
      </c>
      <c r="C379" s="16" t="s">
        <v>108</v>
      </c>
      <c r="D379" s="36" t="str">
        <f t="shared" si="5"/>
        <v>INSERT INTO SkillAttribute(code, title) 
SELECT 'D206', 'Interpretar a função de um protocolo seguro (como HTTPS ou SSL) em uma conexão digital.' 
WHERE NOT EXISTS (SELECT 1 FROM SkillAttribute WHERE code = 'D206') 
AND SCHEMA() IN ('alura', 'aluraproduction');
SET @skill_attribute_D206_id = (SELECT id FROM SkillAttribute WHERE code = 'D206');
INSERT INTO Skill_SkillAttribute(skill_id, skill_attribute_id) 
SELECT @skill_EF09CO05_id, @skill_attribute_D206_id WHERE SCHEMA() IN ('alura', 'aluraproduction');</v>
      </c>
    </row>
    <row r="380" spans="1:4" ht="15" customHeight="1">
      <c r="A380" s="21" t="s">
        <v>889</v>
      </c>
      <c r="B380" s="15" t="s">
        <v>890</v>
      </c>
      <c r="C380" s="16" t="s">
        <v>110</v>
      </c>
      <c r="D380" s="36" t="str">
        <f t="shared" si="5"/>
        <v>INSERT INTO SkillAttribute(code, title) 
SELECT 'D540', 'Identificar causas de problemas sociais com base em informações digitais.' 
WHERE NOT EXISTS (SELECT 1 FROM SkillAttribute WHERE code = 'D540') 
AND SCHEMA() IN ('alura', 'aluraproduction');
SET @skill_attribute_D540_id = (SELECT id FROM SkillAttribute WHERE code = 'D540');
INSERT INTO Skill_SkillAttribute(skill_id, skill_attribute_id) 
SELECT @skill_EF09CO06_id, @skill_attribute_D540_id WHERE SCHEMA() IN ('alura', 'aluraproduction');</v>
      </c>
    </row>
    <row r="381" spans="1:4" ht="15" customHeight="1">
      <c r="A381" s="21" t="s">
        <v>891</v>
      </c>
      <c r="B381" s="15" t="s">
        <v>892</v>
      </c>
      <c r="C381" s="16" t="s">
        <v>110</v>
      </c>
      <c r="D381" s="36" t="str">
        <f t="shared" si="5"/>
        <v>INSERT INTO SkillAttribute(code, title) 
SELECT 'D541', 'Identificar ferramentas digitais que permitem investigar problemas sociais.' 
WHERE NOT EXISTS (SELECT 1 FROM SkillAttribute WHERE code = 'D541') 
AND SCHEMA() IN ('alura', 'aluraproduction');
SET @skill_attribute_D541_id = (SELECT id FROM SkillAttribute WHERE code = 'D541');
INSERT INTO Skill_SkillAttribute(skill_id, skill_attribute_id) 
SELECT @skill_EF09CO06_id, @skill_attribute_D541_id WHERE SCHEMA() IN ('alura', 'aluraproduction');</v>
      </c>
    </row>
    <row r="382" spans="1:4" ht="15" customHeight="1">
      <c r="A382" s="21" t="s">
        <v>893</v>
      </c>
      <c r="B382" s="15" t="s">
        <v>894</v>
      </c>
      <c r="C382" s="16" t="s">
        <v>110</v>
      </c>
      <c r="D382" s="36" t="str">
        <f t="shared" si="5"/>
        <v>INSERT INTO SkillAttribute(code, title) 
SELECT 'D542', 'Compreender como ambientes digitais podem auxiliar na análise de dados sociais.' 
WHERE NOT EXISTS (SELECT 1 FROM SkillAttribute WHERE code = 'D542') 
AND SCHEMA() IN ('alura', 'aluraproduction');
SET @skill_attribute_D542_id = (SELECT id FROM SkillAttribute WHERE code = 'D542');
INSERT INTO Skill_SkillAttribute(skill_id, skill_attribute_id) 
SELECT @skill_EF09CO06_id, @skill_attribute_D542_id WHERE SCHEMA() IN ('alura', 'aluraproduction');</v>
      </c>
    </row>
    <row r="383" spans="1:4" ht="15" customHeight="1">
      <c r="A383" s="21" t="s">
        <v>895</v>
      </c>
      <c r="B383" s="15" t="s">
        <v>896</v>
      </c>
      <c r="C383" s="16" t="s">
        <v>110</v>
      </c>
      <c r="D383" s="36" t="str">
        <f t="shared" si="5"/>
        <v>INSERT INTO SkillAttribute(code, title) 
SELECT 'D543', 'Analisar dados quantitativos extraídos de plataformas públicas sobre um problema social.' 
WHERE NOT EXISTS (SELECT 1 FROM SkillAttribute WHERE code = 'D543') 
AND SCHEMA() IN ('alura', 'aluraproduction');
SET @skill_attribute_D543_id = (SELECT id FROM SkillAttribute WHERE code = 'D543');
INSERT INTO Skill_SkillAttribute(skill_id, skill_attribute_id) 
SELECT @skill_EF09CO06_id, @skill_attribute_D543_id WHERE SCHEMA() IN ('alura', 'aluraproduction');</v>
      </c>
    </row>
    <row r="384" spans="1:4" ht="15" customHeight="1">
      <c r="A384" s="21" t="s">
        <v>897</v>
      </c>
      <c r="B384" s="15" t="s">
        <v>898</v>
      </c>
      <c r="C384" s="16" t="s">
        <v>110</v>
      </c>
      <c r="D384" s="36" t="str">
        <f t="shared" si="5"/>
        <v>INSERT INTO SkillAttribute(code, title) 
SELECT 'D544', 'Identificar soluções tecnológicas simples baseadas em sistemas de informação para problemas sociais.' 
WHERE NOT EXISTS (SELECT 1 FROM SkillAttribute WHERE code = 'D544') 
AND SCHEMA() IN ('alura', 'aluraproduction');
SET @skill_attribute_D544_id = (SELECT id FROM SkillAttribute WHERE code = 'D544');
INSERT INTO Skill_SkillAttribute(skill_id, skill_attribute_id) 
SELECT @skill_EF09CO06_id, @skill_attribute_D544_id WHERE SCHEMA() IN ('alura', 'aluraproduction');</v>
      </c>
    </row>
    <row r="385" spans="1:4" ht="15" customHeight="1">
      <c r="A385" s="21" t="s">
        <v>899</v>
      </c>
      <c r="B385" s="15" t="s">
        <v>900</v>
      </c>
      <c r="C385" s="16" t="s">
        <v>110</v>
      </c>
      <c r="D385" s="36" t="str">
        <f t="shared" si="5"/>
        <v>INSERT INTO SkillAttribute(code, title) 
SELECT 'D545', 'Compreender o papel de plataformas digitais na resolução de problemas sociais.' 
WHERE NOT EXISTS (SELECT 1 FROM SkillAttribute WHERE code = 'D545') 
AND SCHEMA() IN ('alura', 'aluraproduction');
SET @skill_attribute_D545_id = (SELECT id FROM SkillAttribute WHERE code = 'D545');
INSERT INTO Skill_SkillAttribute(skill_id, skill_attribute_id) 
SELECT @skill_EF09CO06_id, @skill_attribute_D545_id WHERE SCHEMA() IN ('alura', 'aluraproduction');</v>
      </c>
    </row>
    <row r="386" spans="1:4" ht="15" customHeight="1">
      <c r="A386" s="21" t="s">
        <v>901</v>
      </c>
      <c r="B386" s="15" t="s">
        <v>902</v>
      </c>
      <c r="C386" s="16" t="s">
        <v>110</v>
      </c>
      <c r="D386" s="36" t="str">
        <f t="shared" si="5"/>
        <v>INSERT INTO SkillAttribute(code, title) 
SELECT 'D546', 'Analisar propostas de solução baseadas em dados coletados digitalmente.' 
WHERE NOT EXISTS (SELECT 1 FROM SkillAttribute WHERE code = 'D546') 
AND SCHEMA() IN ('alura', 'aluraproduction');
SET @skill_attribute_D546_id = (SELECT id FROM SkillAttribute WHERE code = 'D546');
INSERT INTO Skill_SkillAttribute(skill_id, skill_attribute_id) 
SELECT @skill_EF09CO06_id, @skill_attribute_D546_id WHERE SCHEMA() IN ('alura', 'aluraproduction');</v>
      </c>
    </row>
    <row r="387" spans="1:4" ht="15" customHeight="1">
      <c r="A387" s="21" t="s">
        <v>903</v>
      </c>
      <c r="B387" s="15" t="s">
        <v>904</v>
      </c>
      <c r="C387" s="16" t="s">
        <v>110</v>
      </c>
      <c r="D387" s="36" t="str">
        <f t="shared" ref="D387:D450" si="6">"INSERT INTO SkillAttribute(code, title) " &amp; CHAR(10) &amp;
"SELECT '" &amp; A387 &amp; "', '" &amp; SUBSTITUTE(B387, "'", "''") &amp; "' " &amp; CHAR(10) &amp;
"WHERE NOT EXISTS (SELECT 1 FROM SkillAttribute WHERE code = '" &amp; A387 &amp; "') " &amp; CHAR(10) &amp;
"AND SCHEMA() IN ('alura', 'aluraproduction');" &amp;
CHAR(10) &amp; CHAR(10) &amp;
"SET @skill_attribute_" &amp; A387 &amp; "_id = (SELECT id FROM SkillAttribute WHERE code = '" &amp; A387 &amp; "');" &amp;
CHAR(10) &amp; CHAR(10) &amp;
"INSERT INTO Skill_SkillAttribute(skill_id, skill_attribute_id) " &amp; CHAR(10) &amp;
"SELECT @skill_" &amp; C387 &amp; "_id, @skill_attribute_" &amp; A387 &amp; "_id WHERE SCHEMA() IN ('alura', 'aluraproduction');"</f>
        <v>INSERT INTO SkillAttribute(code, title) 
SELECT 'D547', 'Compreender a relação entre análise de dados e tomada de decisão sobre problemas sociais.' 
WHERE NOT EXISTS (SELECT 1 FROM SkillAttribute WHERE code = 'D547') 
AND SCHEMA() IN ('alura', 'aluraproduction');
SET @skill_attribute_D547_id = (SELECT id FROM SkillAttribute WHERE code = 'D547');
INSERT INTO Skill_SkillAttribute(skill_id, skill_attribute_id) 
SELECT @skill_EF09CO06_id, @skill_attribute_D547_id WHERE SCHEMA() IN ('alura', 'aluraproduction');</v>
      </c>
    </row>
    <row r="388" spans="1:4" ht="15" customHeight="1">
      <c r="A388" s="21" t="s">
        <v>905</v>
      </c>
      <c r="B388" s="15" t="s">
        <v>906</v>
      </c>
      <c r="C388" s="16" t="s">
        <v>110</v>
      </c>
      <c r="D388" s="36" t="str">
        <f t="shared" si="6"/>
        <v>INSERT INTO SkillAttribute(code, title) 
SELECT 'D548', 'Analisar o papel dos dados digitais na construção de soluções colaborativas.' 
WHERE NOT EXISTS (SELECT 1 FROM SkillAttribute WHERE code = 'D548') 
AND SCHEMA() IN ('alura', 'aluraproduction');
SET @skill_attribute_D548_id = (SELECT id FROM SkillAttribute WHERE code = 'D548');
INSERT INTO Skill_SkillAttribute(skill_id, skill_attribute_id) 
SELECT @skill_EF09CO06_id, @skill_attribute_D548_id WHERE SCHEMA() IN ('alura', 'aluraproduction');</v>
      </c>
    </row>
    <row r="389" spans="1:4" ht="15" customHeight="1">
      <c r="A389" s="19" t="s">
        <v>907</v>
      </c>
      <c r="B389" s="14" t="s">
        <v>908</v>
      </c>
      <c r="C389" s="16" t="s">
        <v>112</v>
      </c>
      <c r="D389" s="36" t="str">
        <f t="shared" si="6"/>
        <v>INSERT INTO SkillAttribute(code, title) 
SELECT 'D292', 'Analisar o impacto das tecnologias digitais na participação política.' 
WHERE NOT EXISTS (SELECT 1 FROM SkillAttribute WHERE code = 'D292') 
AND SCHEMA() IN ('alura', 'aluraproduction');
SET @skill_attribute_D292_id = (SELECT id FROM SkillAttribute WHERE code = 'D292');
INSERT INTO Skill_SkillAttribute(skill_id, skill_attribute_id) 
SELECT @skill_EF09CO07_id, @skill_attribute_D292_id WHERE SCHEMA() IN ('alura', 'aluraproduction');</v>
      </c>
    </row>
    <row r="390" spans="1:4" ht="15" customHeight="1">
      <c r="A390" s="19" t="s">
        <v>909</v>
      </c>
      <c r="B390" s="14" t="s">
        <v>910</v>
      </c>
      <c r="C390" s="16" t="s">
        <v>112</v>
      </c>
      <c r="D390" s="36" t="str">
        <f t="shared" si="6"/>
        <v>INSERT INTO SkillAttribute(code, title) 
SELECT 'D293', 'Identificar formas de controle político associadas ao uso de tecnologias digitais.' 
WHERE NOT EXISTS (SELECT 1 FROM SkillAttribute WHERE code = 'D293') 
AND SCHEMA() IN ('alura', 'aluraproduction');
SET @skill_attribute_D293_id = (SELECT id FROM SkillAttribute WHERE code = 'D293');
INSERT INTO Skill_SkillAttribute(skill_id, skill_attribute_id) 
SELECT @skill_EF09CO07_id, @skill_attribute_D293_id WHERE SCHEMA() IN ('alura', 'aluraproduction');</v>
      </c>
    </row>
    <row r="391" spans="1:4" ht="15" customHeight="1">
      <c r="A391" s="19" t="s">
        <v>911</v>
      </c>
      <c r="B391" s="14" t="s">
        <v>912</v>
      </c>
      <c r="C391" s="16" t="s">
        <v>112</v>
      </c>
      <c r="D391" s="36" t="str">
        <f t="shared" si="6"/>
        <v>INSERT INTO SkillAttribute(code, title) 
SELECT 'D294', 'Identificar formas de manipulação política associadas ao uso de tecnologias digitais.' 
WHERE NOT EXISTS (SELECT 1 FROM SkillAttribute WHERE code = 'D294') 
AND SCHEMA() IN ('alura', 'aluraproduction');
SET @skill_attribute_D294_id = (SELECT id FROM SkillAttribute WHERE code = 'D294');
INSERT INTO Skill_SkillAttribute(skill_id, skill_attribute_id) 
SELECT @skill_EF09CO07_id, @skill_attribute_D294_id WHERE SCHEMA() IN ('alura', 'aluraproduction');</v>
      </c>
    </row>
    <row r="392" spans="1:4" ht="15" customHeight="1">
      <c r="A392" s="19" t="s">
        <v>913</v>
      </c>
      <c r="B392" s="14" t="s">
        <v>914</v>
      </c>
      <c r="C392" s="16" t="s">
        <v>112</v>
      </c>
      <c r="D392" s="36" t="str">
        <f t="shared" si="6"/>
        <v>INSERT INTO SkillAttribute(code, title) 
SELECT 'D295', 'Compreender os impactos ambientais associados à produção e ao descarte de dispositivos digitais.' 
WHERE NOT EXISTS (SELECT 1 FROM SkillAttribute WHERE code = 'D295') 
AND SCHEMA() IN ('alura', 'aluraproduction');
SET @skill_attribute_D295_id = (SELECT id FROM SkillAttribute WHERE code = 'D295');
INSERT INTO Skill_SkillAttribute(skill_id, skill_attribute_id) 
SELECT @skill_EF09CO07_id, @skill_attribute_D295_id WHERE SCHEMA() IN ('alura', 'aluraproduction');</v>
      </c>
    </row>
    <row r="393" spans="1:4" ht="15" customHeight="1">
      <c r="A393" s="19" t="s">
        <v>915</v>
      </c>
      <c r="B393" s="14" t="s">
        <v>916</v>
      </c>
      <c r="C393" s="16" t="s">
        <v>112</v>
      </c>
      <c r="D393" s="36" t="str">
        <f t="shared" si="6"/>
        <v>INSERT INTO SkillAttribute(code, title) 
SELECT 'D296', 'Analisar o papel da tecnologia digital na promoção de práticas sustentáveis.' 
WHERE NOT EXISTS (SELECT 1 FROM SkillAttribute WHERE code = 'D296') 
AND SCHEMA() IN ('alura', 'aluraproduction');
SET @skill_attribute_D296_id = (SELECT id FROM SkillAttribute WHERE code = 'D296');
INSERT INTO Skill_SkillAttribute(skill_id, skill_attribute_id) 
SELECT @skill_EF09CO07_id, @skill_attribute_D296_id WHERE SCHEMA() IN ('alura', 'aluraproduction');</v>
      </c>
    </row>
    <row r="394" spans="1:4" ht="15" customHeight="1">
      <c r="A394" s="19" t="s">
        <v>917</v>
      </c>
      <c r="B394" s="14" t="s">
        <v>918</v>
      </c>
      <c r="C394" s="16" t="s">
        <v>112</v>
      </c>
      <c r="D394" s="36" t="str">
        <f t="shared" si="6"/>
        <v>INSERT INTO SkillAttribute(code, title) 
SELECT 'D297', 'Compreender as transformações culturais provocadas pelas tecnologias digitais.' 
WHERE NOT EXISTS (SELECT 1 FROM SkillAttribute WHERE code = 'D297') 
AND SCHEMA() IN ('alura', 'aluraproduction');
SET @skill_attribute_D297_id = (SELECT id FROM SkillAttribute WHERE code = 'D297');
INSERT INTO Skill_SkillAttribute(skill_id, skill_attribute_id) 
SELECT @skill_EF09CO07_id, @skill_attribute_D297_id WHERE SCHEMA() IN ('alura', 'aluraproduction');</v>
      </c>
    </row>
    <row r="395" spans="1:4" ht="15" customHeight="1">
      <c r="A395" s="19" t="s">
        <v>919</v>
      </c>
      <c r="B395" s="14" t="s">
        <v>920</v>
      </c>
      <c r="C395" s="16" t="s">
        <v>112</v>
      </c>
      <c r="D395" s="36" t="str">
        <f t="shared" si="6"/>
        <v>INSERT INTO SkillAttribute(code, title) 
SELECT 'D298', 'Analisar como o uso das tecnologias digitais influencia hábitos sociais.' 
WHERE NOT EXISTS (SELECT 1 FROM SkillAttribute WHERE code = 'D298') 
AND SCHEMA() IN ('alura', 'aluraproduction');
SET @skill_attribute_D298_id = (SELECT id FROM SkillAttribute WHERE code = 'D298');
INSERT INTO Skill_SkillAttribute(skill_id, skill_attribute_id) 
SELECT @skill_EF09CO07_id, @skill_attribute_D298_id WHERE SCHEMA() IN ('alura', 'aluraproduction');</v>
      </c>
    </row>
    <row r="396" spans="1:4" ht="15" customHeight="1">
      <c r="A396" s="19" t="s">
        <v>921</v>
      </c>
      <c r="B396" s="14" t="s">
        <v>922</v>
      </c>
      <c r="C396" s="16" t="s">
        <v>112</v>
      </c>
      <c r="D396" s="36" t="str">
        <f t="shared" si="6"/>
        <v>INSERT INTO SkillAttribute(code, title) 
SELECT 'D299', 'Analisar como o uso das tecnologias digitais influencia comportamentos sociais.' 
WHERE NOT EXISTS (SELECT 1 FROM SkillAttribute WHERE code = 'D299') 
AND SCHEMA() IN ('alura', 'aluraproduction');
SET @skill_attribute_D299_id = (SELECT id FROM SkillAttribute WHERE code = 'D299');
INSERT INTO Skill_SkillAttribute(skill_id, skill_attribute_id) 
SELECT @skill_EF09CO07_id, @skill_attribute_D299_id WHERE SCHEMA() IN ('alura', 'aluraproduction');</v>
      </c>
    </row>
    <row r="397" spans="1:4" ht="15" customHeight="1">
      <c r="A397" s="19" t="s">
        <v>923</v>
      </c>
      <c r="B397" s="14" t="s">
        <v>924</v>
      </c>
      <c r="C397" s="16" t="s">
        <v>112</v>
      </c>
      <c r="D397" s="36" t="str">
        <f t="shared" si="6"/>
        <v>INSERT INTO SkillAttribute(code, title) 
SELECT 'D300', 'Compreender as transformações no mundo do trabalho geradas pelas tecnologias digitais.' 
WHERE NOT EXISTS (SELECT 1 FROM SkillAttribute WHERE code = 'D300') 
AND SCHEMA() IN ('alura', 'aluraproduction');
SET @skill_attribute_D300_id = (SELECT id FROM SkillAttribute WHERE code = 'D300');
INSERT INTO Skill_SkillAttribute(skill_id, skill_attribute_id) 
SELECT @skill_EF09CO07_id, @skill_attribute_D300_id WHERE SCHEMA() IN ('alura', 'aluraproduction');</v>
      </c>
    </row>
    <row r="398" spans="1:4" ht="15" customHeight="1">
      <c r="A398" s="19" t="s">
        <v>925</v>
      </c>
      <c r="B398" s="14" t="s">
        <v>926</v>
      </c>
      <c r="C398" s="16" t="s">
        <v>112</v>
      </c>
      <c r="D398" s="36" t="str">
        <f t="shared" si="6"/>
        <v>INSERT INTO SkillAttribute(code, title) 
SELECT 'D301', 'Analisar as exigências de competências digitais no mercado de trabalho atual.' 
WHERE NOT EXISTS (SELECT 1 FROM SkillAttribute WHERE code = 'D301') 
AND SCHEMA() IN ('alura', 'aluraproduction');
SET @skill_attribute_D301_id = (SELECT id FROM SkillAttribute WHERE code = 'D301');
INSERT INTO Skill_SkillAttribute(skill_id, skill_attribute_id) 
SELECT @skill_EF09CO07_id, @skill_attribute_D301_id WHERE SCHEMA() IN ('alura', 'aluraproduction');</v>
      </c>
    </row>
    <row r="399" spans="1:4" ht="15" customHeight="1">
      <c r="A399" s="19" t="s">
        <v>927</v>
      </c>
      <c r="B399" s="14" t="s">
        <v>928</v>
      </c>
      <c r="C399" s="16" t="s">
        <v>112</v>
      </c>
      <c r="D399" s="36" t="str">
        <f t="shared" si="6"/>
        <v>INSERT INTO SkillAttribute(code, title) 
SELECT 'D302', 'Relacionar o uso responsável das tecnologias digitais a situações-problema do mundo contemporâneo.' 
WHERE NOT EXISTS (SELECT 1 FROM SkillAttribute WHERE code = 'D302') 
AND SCHEMA() IN ('alura', 'aluraproduction');
SET @skill_attribute_D302_id = (SELECT id FROM SkillAttribute WHERE code = 'D302');
INSERT INTO Skill_SkillAttribute(skill_id, skill_attribute_id) 
SELECT @skill_EF09CO07_id, @skill_attribute_D302_id WHERE SCHEMA() IN ('alura', 'aluraproduction');</v>
      </c>
    </row>
    <row r="400" spans="1:4" ht="15" customHeight="1">
      <c r="A400" s="19" t="s">
        <v>929</v>
      </c>
      <c r="B400" s="14" t="s">
        <v>930</v>
      </c>
      <c r="C400" s="16" t="s">
        <v>112</v>
      </c>
      <c r="D400" s="36" t="str">
        <f t="shared" si="6"/>
        <v>INSERT INTO SkillAttribute(code, title) 
SELECT 'D303', 'Identificar alternativas tecnológicas para enfrentar problemas sociais.' 
WHERE NOT EXISTS (SELECT 1 FROM SkillAttribute WHERE code = 'D303') 
AND SCHEMA() IN ('alura', 'aluraproduction');
SET @skill_attribute_D303_id = (SELECT id FROM SkillAttribute WHERE code = 'D303');
INSERT INTO Skill_SkillAttribute(skill_id, skill_attribute_id) 
SELECT @skill_EF09CO07_id, @skill_attribute_D303_id WHERE SCHEMA() IN ('alura', 'aluraproduction');</v>
      </c>
    </row>
    <row r="401" spans="1:4" ht="15" customHeight="1">
      <c r="A401" s="19" t="s">
        <v>931</v>
      </c>
      <c r="B401" s="14" t="s">
        <v>932</v>
      </c>
      <c r="C401" s="16" t="s">
        <v>112</v>
      </c>
      <c r="D401" s="36" t="str">
        <f t="shared" si="6"/>
        <v>INSERT INTO SkillAttribute(code, title) 
SELECT 'D304', 'Identificar alternativas tecnológicas para enfrentar problemas ambientais.' 
WHERE NOT EXISTS (SELECT 1 FROM SkillAttribute WHERE code = 'D304') 
AND SCHEMA() IN ('alura', 'aluraproduction');
SET @skill_attribute_D304_id = (SELECT id FROM SkillAttribute WHERE code = 'D304');
INSERT INTO Skill_SkillAttribute(skill_id, skill_attribute_id) 
SELECT @skill_EF09CO07_id, @skill_attribute_D304_id WHERE SCHEMA() IN ('alura', 'aluraproduction');</v>
      </c>
    </row>
    <row r="402" spans="1:4" ht="15" customHeight="1">
      <c r="A402" s="19" t="s">
        <v>933</v>
      </c>
      <c r="B402" s="14" t="s">
        <v>934</v>
      </c>
      <c r="C402" s="16" t="s">
        <v>112</v>
      </c>
      <c r="D402" s="36" t="str">
        <f t="shared" si="6"/>
        <v>INSERT INTO SkillAttribute(code, title) 
SELECT 'D305', 'Analisar o papel da tecnologia na redução das desigualdades sociais.' 
WHERE NOT EXISTS (SELECT 1 FROM SkillAttribute WHERE code = 'D305') 
AND SCHEMA() IN ('alura', 'aluraproduction');
SET @skill_attribute_D305_id = (SELECT id FROM SkillAttribute WHERE code = 'D305');
INSERT INTO Skill_SkillAttribute(skill_id, skill_attribute_id) 
SELECT @skill_EF09CO07_id, @skill_attribute_D305_id WHERE SCHEMA() IN ('alura', 'aluraproduction');</v>
      </c>
    </row>
    <row r="403" spans="1:4" ht="15" customHeight="1">
      <c r="A403" s="19" t="s">
        <v>935</v>
      </c>
      <c r="B403" s="14" t="s">
        <v>936</v>
      </c>
      <c r="C403" s="16" t="s">
        <v>112</v>
      </c>
      <c r="D403" s="36" t="str">
        <f t="shared" si="6"/>
        <v>INSERT INTO SkillAttribute(code, title) 
SELECT 'D306', 'Analisar o papel da tecnologia na ampliação das desigualdades sociais.' 
WHERE NOT EXISTS (SELECT 1 FROM SkillAttribute WHERE code = 'D306') 
AND SCHEMA() IN ('alura', 'aluraproduction');
SET @skill_attribute_D306_id = (SELECT id FROM SkillAttribute WHERE code = 'D306');
INSERT INTO Skill_SkillAttribute(skill_id, skill_attribute_id) 
SELECT @skill_EF09CO07_id, @skill_attribute_D306_id WHERE SCHEMA() IN ('alura', 'aluraproduction');</v>
      </c>
    </row>
    <row r="404" spans="1:4" ht="15" customHeight="1">
      <c r="A404" s="19" t="s">
        <v>937</v>
      </c>
      <c r="B404" s="14" t="s">
        <v>938</v>
      </c>
      <c r="C404" s="16" t="s">
        <v>112</v>
      </c>
      <c r="D404" s="36" t="str">
        <f t="shared" si="6"/>
        <v>INSERT INTO SkillAttribute(code, title) 
SELECT 'D307', 'Reconhecer o uso das tecnologias como instrumento de inclusão social.' 
WHERE NOT EXISTS (SELECT 1 FROM SkillAttribute WHERE code = 'D307') 
AND SCHEMA() IN ('alura', 'aluraproduction');
SET @skill_attribute_D307_id = (SELECT id FROM SkillAttribute WHERE code = 'D307');
INSERT INTO Skill_SkillAttribute(skill_id, skill_attribute_id) 
SELECT @skill_EF09CO07_id, @skill_attribute_D307_id WHERE SCHEMA() IN ('alura', 'aluraproduction');</v>
      </c>
    </row>
    <row r="405" spans="1:4" ht="15" customHeight="1">
      <c r="A405" s="19" t="s">
        <v>939</v>
      </c>
      <c r="B405" s="14" t="s">
        <v>940</v>
      </c>
      <c r="C405" s="16" t="s">
        <v>112</v>
      </c>
      <c r="D405" s="36" t="str">
        <f t="shared" si="6"/>
        <v>INSERT INTO SkillAttribute(code, title) 
SELECT 'D308', 'Reconhecer o uso das tecnologias como instrumento de exclusão social.' 
WHERE NOT EXISTS (SELECT 1 FROM SkillAttribute WHERE code = 'D308') 
AND SCHEMA() IN ('alura', 'aluraproduction');
SET @skill_attribute_D308_id = (SELECT id FROM SkillAttribute WHERE code = 'D308');
INSERT INTO Skill_SkillAttribute(skill_id, skill_attribute_id) 
SELECT @skill_EF09CO07_id, @skill_attribute_D308_id WHERE SCHEMA() IN ('alura', 'aluraproduction');</v>
      </c>
    </row>
    <row r="406" spans="1:4" ht="15" customHeight="1">
      <c r="A406" s="19" t="s">
        <v>941</v>
      </c>
      <c r="B406" s="14" t="s">
        <v>942</v>
      </c>
      <c r="C406" s="16" t="s">
        <v>112</v>
      </c>
      <c r="D406" s="36" t="str">
        <f t="shared" si="6"/>
        <v>INSERT INTO SkillAttribute(code, title) 
SELECT 'D309', 'Analisar iniciativas sociais que promovem o uso ético das tecnologias digitais.' 
WHERE NOT EXISTS (SELECT 1 FROM SkillAttribute WHERE code = 'D309') 
AND SCHEMA() IN ('alura', 'aluraproduction');
SET @skill_attribute_D309_id = (SELECT id FROM SkillAttribute WHERE code = 'D309');
INSERT INTO Skill_SkillAttribute(skill_id, skill_attribute_id) 
SELECT @skill_EF09CO07_id, @skill_attribute_D309_id WHERE SCHEMA() IN ('alura', 'aluraproduction');</v>
      </c>
    </row>
    <row r="407" spans="1:4" ht="15" customHeight="1">
      <c r="A407" s="19" t="s">
        <v>943</v>
      </c>
      <c r="B407" s="14" t="s">
        <v>944</v>
      </c>
      <c r="C407" s="16" t="s">
        <v>112</v>
      </c>
      <c r="D407" s="36" t="str">
        <f t="shared" si="6"/>
        <v>INSERT INTO SkillAttribute(code, title) 
SELECT 'D310', 'Analisar iniciativas educativas que promovem o uso ético das tecnologias digitais.' 
WHERE NOT EXISTS (SELECT 1 FROM SkillAttribute WHERE code = 'D310') 
AND SCHEMA() IN ('alura', 'aluraproduction');
SET @skill_attribute_D310_id = (SELECT id FROM SkillAttribute WHERE code = 'D310');
INSERT INTO Skill_SkillAttribute(skill_id, skill_attribute_id) 
SELECT @skill_EF09CO07_id, @skill_attribute_D310_id WHERE SCHEMA() IN ('alura', 'aluraproduction');</v>
      </c>
    </row>
    <row r="408" spans="1:4" ht="15" customHeight="1">
      <c r="A408" s="21" t="s">
        <v>945</v>
      </c>
      <c r="B408" s="15" t="s">
        <v>946</v>
      </c>
      <c r="C408" s="16" t="s">
        <v>114</v>
      </c>
      <c r="D408" s="36" t="str">
        <f t="shared" si="6"/>
        <v>INSERT INTO SkillAttribute(code, title) 
SELECT 'D549', 'Identificar exemplos de desigualdade no acesso a recursos computacionais.' 
WHERE NOT EXISTS (SELECT 1 FROM SkillAttribute WHERE code = 'D549') 
AND SCHEMA() IN ('alura', 'aluraproduction');
SET @skill_attribute_D549_id = (SELECT id FROM SkillAttribute WHERE code = 'D549');
INSERT INTO Skill_SkillAttribute(skill_id, skill_attribute_id) 
SELECT @skill_EF09CO08_id, @skill_attribute_D549_id WHERE SCHEMA() IN ('alura', 'aluraproduction');</v>
      </c>
    </row>
    <row r="409" spans="1:4" ht="15" customHeight="1">
      <c r="A409" s="21" t="s">
        <v>947</v>
      </c>
      <c r="B409" s="15" t="s">
        <v>948</v>
      </c>
      <c r="C409" s="16" t="s">
        <v>114</v>
      </c>
      <c r="D409" s="36" t="str">
        <f t="shared" si="6"/>
        <v>INSERT INTO SkillAttribute(code, title) 
SELECT 'D550', 'Compreender que nem todas as regiões possuem o mesmo acesso a tecnologias digitais.' 
WHERE NOT EXISTS (SELECT 1 FROM SkillAttribute WHERE code = 'D550') 
AND SCHEMA() IN ('alura', 'aluraproduction');
SET @skill_attribute_D550_id = (SELECT id FROM SkillAttribute WHERE code = 'D550');
INSERT INTO Skill_SkillAttribute(skill_id, skill_attribute_id) 
SELECT @skill_EF09CO08_id, @skill_attribute_D550_id WHERE SCHEMA() IN ('alura', 'aluraproduction');</v>
      </c>
    </row>
    <row r="410" spans="1:4" ht="15" customHeight="1">
      <c r="A410" s="21" t="s">
        <v>949</v>
      </c>
      <c r="B410" s="15" t="s">
        <v>950</v>
      </c>
      <c r="C410" s="16" t="s">
        <v>114</v>
      </c>
      <c r="D410" s="36" t="str">
        <f t="shared" si="6"/>
        <v>INSERT INTO SkillAttribute(code, title) 
SELECT 'D551', 'Analisar situações em que há concentração de recursos computacionais em determinadas regiões.' 
WHERE NOT EXISTS (SELECT 1 FROM SkillAttribute WHERE code = 'D551') 
AND SCHEMA() IN ('alura', 'aluraproduction');
SET @skill_attribute_D551_id = (SELECT id FROM SkillAttribute WHERE code = 'D551');
INSERT INTO Skill_SkillAttribute(skill_id, skill_attribute_id) 
SELECT @skill_EF09CO08_id, @skill_attribute_D551_id WHERE SCHEMA() IN ('alura', 'aluraproduction');</v>
      </c>
    </row>
    <row r="411" spans="1:4" ht="15" customHeight="1">
      <c r="A411" s="21" t="s">
        <v>951</v>
      </c>
      <c r="B411" s="15" t="s">
        <v>952</v>
      </c>
      <c r="C411" s="16" t="s">
        <v>114</v>
      </c>
      <c r="D411" s="36" t="str">
        <f t="shared" si="6"/>
        <v>INSERT INTO SkillAttribute(code, title) 
SELECT 'D552', 'Identificar fatores que limitam o acesso à computação em determinadas populações.' 
WHERE NOT EXISTS (SELECT 1 FROM SkillAttribute WHERE code = 'D552') 
AND SCHEMA() IN ('alura', 'aluraproduction');
SET @skill_attribute_D552_id = (SELECT id FROM SkillAttribute WHERE code = 'D552');
INSERT INTO Skill_SkillAttribute(skill_id, skill_attribute_id) 
SELECT @skill_EF09CO08_id, @skill_attribute_D552_id WHERE SCHEMA() IN ('alura', 'aluraproduction');</v>
      </c>
    </row>
    <row r="412" spans="1:4" ht="15" customHeight="1">
      <c r="A412" s="21" t="s">
        <v>953</v>
      </c>
      <c r="B412" s="15" t="s">
        <v>954</v>
      </c>
      <c r="C412" s="16" t="s">
        <v>114</v>
      </c>
      <c r="D412" s="36" t="str">
        <f t="shared" si="6"/>
        <v>INSERT INTO SkillAttribute(code, title) 
SELECT 'D553', 'Compreender a relação entre acesso à tecnologia e desigualdade social.' 
WHERE NOT EXISTS (SELECT 1 FROM SkillAttribute WHERE code = 'D553') 
AND SCHEMA() IN ('alura', 'aluraproduction');
SET @skill_attribute_D553_id = (SELECT id FROM SkillAttribute WHERE code = 'D553');
INSERT INTO Skill_SkillAttribute(skill_id, skill_attribute_id) 
SELECT @skill_EF09CO08_id, @skill_attribute_D553_id WHERE SCHEMA() IN ('alura', 'aluraproduction');</v>
      </c>
    </row>
    <row r="413" spans="1:4" ht="15" customHeight="1">
      <c r="A413" s="21" t="s">
        <v>955</v>
      </c>
      <c r="B413" s="15" t="s">
        <v>956</v>
      </c>
      <c r="C413" s="16" t="s">
        <v>114</v>
      </c>
      <c r="D413" s="36" t="str">
        <f t="shared" si="6"/>
        <v>INSERT INTO SkillAttribute(code, title) 
SELECT 'D554', 'Analisar o impacto da falta de acesso à computação sobre oportunidades educacionais ou sociais.' 
WHERE NOT EXISTS (SELECT 1 FROM SkillAttribute WHERE code = 'D554') 
AND SCHEMA() IN ('alura', 'aluraproduction');
SET @skill_attribute_D554_id = (SELECT id FROM SkillAttribute WHERE code = 'D554');
INSERT INTO Skill_SkillAttribute(skill_id, skill_attribute_id) 
SELECT @skill_EF09CO08_id, @skill_attribute_D554_id WHERE SCHEMA() IN ('alura', 'aluraproduction');</v>
      </c>
    </row>
    <row r="414" spans="1:4" ht="15" customHeight="1">
      <c r="A414" s="21" t="s">
        <v>957</v>
      </c>
      <c r="B414" s="15" t="s">
        <v>958</v>
      </c>
      <c r="C414" s="16" t="s">
        <v>114</v>
      </c>
      <c r="D414" s="36" t="str">
        <f t="shared" si="6"/>
        <v>INSERT INTO SkillAttribute(code, title) 
SELECT 'D555', 'Identificar países ou grupos que concentram o desenvolvimento de tecnologias.' 
WHERE NOT EXISTS (SELECT 1 FROM SkillAttribute WHERE code = 'D555') 
AND SCHEMA() IN ('alura', 'aluraproduction');
SET @skill_attribute_D555_id = (SELECT id FROM SkillAttribute WHERE code = 'D555');
INSERT INTO Skill_SkillAttribute(skill_id, skill_attribute_id) 
SELECT @skill_EF09CO08_id, @skill_attribute_D555_id WHERE SCHEMA() IN ('alura', 'aluraproduction');</v>
      </c>
    </row>
    <row r="415" spans="1:4" ht="15" customHeight="1">
      <c r="A415" s="21" t="s">
        <v>959</v>
      </c>
      <c r="B415" s="15" t="s">
        <v>960</v>
      </c>
      <c r="C415" s="16" t="s">
        <v>114</v>
      </c>
      <c r="D415" s="36" t="str">
        <f t="shared" si="6"/>
        <v>INSERT INTO SkillAttribute(code, title) 
SELECT 'D556', 'Compreender como a posse de infraestrutura tecnológica pode gerar poder econômico ou político.' 
WHERE NOT EXISTS (SELECT 1 FROM SkillAttribute WHERE code = 'D556') 
AND SCHEMA() IN ('alura', 'aluraproduction');
SET @skill_attribute_D556_id = (SELECT id FROM SkillAttribute WHERE code = 'D556');
INSERT INTO Skill_SkillAttribute(skill_id, skill_attribute_id) 
SELECT @skill_EF09CO08_id, @skill_attribute_D556_id WHERE SCHEMA() IN ('alura', 'aluraproduction');</v>
      </c>
    </row>
    <row r="416" spans="1:4" ht="15" customHeight="1">
      <c r="A416" s="21" t="s">
        <v>961</v>
      </c>
      <c r="B416" s="15" t="s">
        <v>962</v>
      </c>
      <c r="C416" s="16" t="s">
        <v>114</v>
      </c>
      <c r="D416" s="36" t="str">
        <f t="shared" si="6"/>
        <v>INSERT INTO SkillAttribute(code, title) 
SELECT 'D557', 'Analisar o papel da computação na ampliação ou redução de desigualdades de poder.' 
WHERE NOT EXISTS (SELECT 1 FROM SkillAttribute WHERE code = 'D557') 
AND SCHEMA() IN ('alura', 'aluraproduction');
SET @skill_attribute_D557_id = (SELECT id FROM SkillAttribute WHERE code = 'D557');
INSERT INTO Skill_SkillAttribute(skill_id, skill_attribute_id) 
SELECT @skill_EF09CO08_id, @skill_attribute_D557_id WHERE SCHEMA() IN ('alura', 'aluraproduction');</v>
      </c>
    </row>
    <row r="417" spans="1:4" ht="15" customHeight="1">
      <c r="A417" s="21" t="s">
        <v>963</v>
      </c>
      <c r="B417" s="15" t="s">
        <v>964</v>
      </c>
      <c r="C417" s="16" t="s">
        <v>114</v>
      </c>
      <c r="D417" s="36" t="str">
        <f t="shared" si="6"/>
        <v>INSERT INTO SkillAttribute(code, title) 
SELECT 'D558', 'Compreender como iniciativas de software livre podem promover equidade no acesso a serviços digitais.' 
WHERE NOT EXISTS (SELECT 1 FROM SkillAttribute WHERE code = 'D558') 
AND SCHEMA() IN ('alura', 'aluraproduction');
SET @skill_attribute_D558_id = (SELECT id FROM SkillAttribute WHERE code = 'D558');
INSERT INTO Skill_SkillAttribute(skill_id, skill_attribute_id) 
SELECT @skill_EF09CO08_id, @skill_attribute_D558_id WHERE SCHEMA() IN ('alura', 'aluraproduction');</v>
      </c>
    </row>
    <row r="418" spans="1:4" ht="15" customHeight="1">
      <c r="A418" s="21" t="s">
        <v>965</v>
      </c>
      <c r="B418" s="15" t="s">
        <v>966</v>
      </c>
      <c r="C418" s="16" t="s">
        <v>114</v>
      </c>
      <c r="D418" s="36" t="str">
        <f t="shared" si="6"/>
        <v>INSERT INTO SkillAttribute(code, title) 
SELECT 'D559', 'Analisar como tecnologias de código aberto podem combater desigualdades no acesso à computação.' 
WHERE NOT EXISTS (SELECT 1 FROM SkillAttribute WHERE code = 'D559') 
AND SCHEMA() IN ('alura', 'aluraproduction');
SET @skill_attribute_D559_id = (SELECT id FROM SkillAttribute WHERE code = 'D559');
INSERT INTO Skill_SkillAttribute(skill_id, skill_attribute_id) 
SELECT @skill_EF09CO08_id, @skill_attribute_D559_id WHERE SCHEMA() IN ('alura', 'aluraproduction');</v>
      </c>
    </row>
    <row r="419" spans="1:4" ht="15" customHeight="1">
      <c r="A419" s="21" t="s">
        <v>967</v>
      </c>
      <c r="B419" s="15" t="s">
        <v>968</v>
      </c>
      <c r="C419" s="16" t="s">
        <v>114</v>
      </c>
      <c r="D419" s="36" t="str">
        <f t="shared" si="6"/>
        <v>INSERT INTO SkillAttribute(code, title) 
SELECT 'D560', 'Analisar como sistemas de recomendação automatizados podem reforçar desigualdades digitais.' 
WHERE NOT EXISTS (SELECT 1 FROM SkillAttribute WHERE code = 'D560') 
AND SCHEMA() IN ('alura', 'aluraproduction');
SET @skill_attribute_D560_id = (SELECT id FROM SkillAttribute WHERE code = 'D560');
INSERT INTO Skill_SkillAttribute(skill_id, skill_attribute_id) 
SELECT @skill_EF09CO08_id, @skill_attribute_D560_id WHERE SCHEMA() IN ('alura', 'aluraproduction');</v>
      </c>
    </row>
    <row r="420" spans="1:4" ht="15" customHeight="1">
      <c r="A420" s="19" t="s">
        <v>969</v>
      </c>
      <c r="B420" s="14" t="s">
        <v>970</v>
      </c>
      <c r="C420" s="16" t="s">
        <v>116</v>
      </c>
      <c r="D420" s="36" t="str">
        <f t="shared" si="6"/>
        <v>INSERT INTO SkillAttribute(code, title) 
SELECT 'D311', 'Compreender o processo de criação de conteúdo em meio digital.' 
WHERE NOT EXISTS (SELECT 1 FROM SkillAttribute WHERE code = 'D311') 
AND SCHEMA() IN ('alura', 'aluraproduction');
SET @skill_attribute_D311_id = (SELECT id FROM SkillAttribute WHERE code = 'D311');
INSERT INTO Skill_SkillAttribute(skill_id, skill_attribute_id) 
SELECT @skill_EF09CO09_id, @skill_attribute_D311_id WHERE SCHEMA() IN ('alura', 'aluraproduction');</v>
      </c>
    </row>
    <row r="421" spans="1:4" ht="15" customHeight="1">
      <c r="A421" s="19" t="s">
        <v>971</v>
      </c>
      <c r="B421" s="14" t="s">
        <v>972</v>
      </c>
      <c r="C421" s="16" t="s">
        <v>116</v>
      </c>
      <c r="D421" s="36" t="str">
        <f t="shared" si="6"/>
        <v>INSERT INTO SkillAttribute(code, title) 
SELECT 'D312', 'Identificar boas práticas no uso de conteúdo digital criado por terceiros.' 
WHERE NOT EXISTS (SELECT 1 FROM SkillAttribute WHERE code = 'D312') 
AND SCHEMA() IN ('alura', 'aluraproduction');
SET @skill_attribute_D312_id = (SELECT id FROM SkillAttribute WHERE code = 'D312');
INSERT INTO Skill_SkillAttribute(skill_id, skill_attribute_id) 
SELECT @skill_EF09CO09_id, @skill_attribute_D312_id WHERE SCHEMA() IN ('alura', 'aluraproduction');</v>
      </c>
    </row>
    <row r="422" spans="1:4" ht="15" customHeight="1">
      <c r="A422" s="19" t="s">
        <v>973</v>
      </c>
      <c r="B422" s="14" t="s">
        <v>974</v>
      </c>
      <c r="C422" s="16" t="s">
        <v>116</v>
      </c>
      <c r="D422" s="36" t="str">
        <f t="shared" si="6"/>
        <v>INSERT INTO SkillAttribute(code, title) 
SELECT 'D313', 'Compreender o conceito de direitos autorais aplicados ao conteúdo digital.' 
WHERE NOT EXISTS (SELECT 1 FROM SkillAttribute WHERE code = 'D313') 
AND SCHEMA() IN ('alura', 'aluraproduction');
SET @skill_attribute_D313_id = (SELECT id FROM SkillAttribute WHERE code = 'D313');
INSERT INTO Skill_SkillAttribute(skill_id, skill_attribute_id) 
SELECT @skill_EF09CO09_id, @skill_attribute_D313_id WHERE SCHEMA() IN ('alura', 'aluraproduction');</v>
      </c>
    </row>
    <row r="423" spans="1:4" ht="15" customHeight="1">
      <c r="A423" s="19" t="s">
        <v>975</v>
      </c>
      <c r="B423" s="14" t="s">
        <v>976</v>
      </c>
      <c r="C423" s="16" t="s">
        <v>116</v>
      </c>
      <c r="D423" s="36" t="str">
        <f t="shared" si="6"/>
        <v>INSERT INTO SkillAttribute(code, title) 
SELECT 'D314', 'Reconhecer situações de violação de direitos autorais em mídias digitais.' 
WHERE NOT EXISTS (SELECT 1 FROM SkillAttribute WHERE code = 'D314') 
AND SCHEMA() IN ('alura', 'aluraproduction');
SET @skill_attribute_D314_id = (SELECT id FROM SkillAttribute WHERE code = 'D314');
INSERT INTO Skill_SkillAttribute(skill_id, skill_attribute_id) 
SELECT @skill_EF09CO09_id, @skill_attribute_D314_id WHERE SCHEMA() IN ('alura', 'aluraproduction');</v>
      </c>
    </row>
    <row r="424" spans="1:4" ht="15" customHeight="1">
      <c r="A424" s="19" t="s">
        <v>977</v>
      </c>
      <c r="B424" s="14" t="s">
        <v>978</v>
      </c>
      <c r="C424" s="16" t="s">
        <v>116</v>
      </c>
      <c r="D424" s="36" t="str">
        <f t="shared" si="6"/>
        <v>INSERT INTO SkillAttribute(code, title) 
SELECT 'D315', 'Compreender o conceito de direito de uso de imagem de pessoas ou obras.' 
WHERE NOT EXISTS (SELECT 1 FROM SkillAttribute WHERE code = 'D315') 
AND SCHEMA() IN ('alura', 'aluraproduction');
SET @skill_attribute_D315_id = (SELECT id FROM SkillAttribute WHERE code = 'D315');
INSERT INTO Skill_SkillAttribute(skill_id, skill_attribute_id) 
SELECT @skill_EF09CO09_id, @skill_attribute_D315_id WHERE SCHEMA() IN ('alura', 'aluraproduction');</v>
      </c>
    </row>
    <row r="425" spans="1:4" ht="15" customHeight="1">
      <c r="A425" s="19" t="s">
        <v>979</v>
      </c>
      <c r="B425" s="14" t="s">
        <v>980</v>
      </c>
      <c r="C425" s="16" t="s">
        <v>116</v>
      </c>
      <c r="D425" s="36" t="str">
        <f t="shared" si="6"/>
        <v>INSERT INTO SkillAttribute(code, title) 
SELECT 'D316', 'Reconhecer práticas adequadas no uso de imagens de terceiros em conteúdos digitais.' 
WHERE NOT EXISTS (SELECT 1 FROM SkillAttribute WHERE code = 'D316') 
AND SCHEMA() IN ('alura', 'aluraproduction');
SET @skill_attribute_D316_id = (SELECT id FROM SkillAttribute WHERE code = 'D316');
INSERT INTO Skill_SkillAttribute(skill_id, skill_attribute_id) 
SELECT @skill_EF09CO09_id, @skill_attribute_D316_id WHERE SCHEMA() IN ('alura', 'aluraproduction');</v>
      </c>
    </row>
    <row r="426" spans="1:4" ht="15" customHeight="1">
      <c r="A426" s="19" t="s">
        <v>981</v>
      </c>
      <c r="B426" s="14" t="s">
        <v>982</v>
      </c>
      <c r="C426" s="16" t="s">
        <v>116</v>
      </c>
      <c r="D426" s="36" t="str">
        <f t="shared" si="6"/>
        <v>INSERT INTO SkillAttribute(code, title) 
SELECT 'D317', 'Identificar licenças de uso associadas a conteúdos digitais, como Creative Commons e domínio público.' 
WHERE NOT EXISTS (SELECT 1 FROM SkillAttribute WHERE code = 'D317') 
AND SCHEMA() IN ('alura', 'aluraproduction');
SET @skill_attribute_D317_id = (SELECT id FROM SkillAttribute WHERE code = 'D317');
INSERT INTO Skill_SkillAttribute(skill_id, skill_attribute_id) 
SELECT @skill_EF09CO09_id, @skill_attribute_D317_id WHERE SCHEMA() IN ('alura', 'aluraproduction');</v>
      </c>
    </row>
    <row r="427" spans="1:4" ht="15" customHeight="1">
      <c r="A427" s="19" t="s">
        <v>983</v>
      </c>
      <c r="B427" s="14" t="s">
        <v>984</v>
      </c>
      <c r="C427" s="16" t="s">
        <v>116</v>
      </c>
      <c r="D427" s="36" t="str">
        <f t="shared" si="6"/>
        <v>INSERT INTO SkillAttribute(code, title) 
SELECT 'D318', 'Compreender os princípios éticos que orientam a criação e o uso de conteúdo digital.' 
WHERE NOT EXISTS (SELECT 1 FROM SkillAttribute WHERE code = 'D318') 
AND SCHEMA() IN ('alura', 'aluraproduction');
SET @skill_attribute_D318_id = (SELECT id FROM SkillAttribute WHERE code = 'D318');
INSERT INTO Skill_SkillAttribute(skill_id, skill_attribute_id) 
SELECT @skill_EF09CO09_id, @skill_attribute_D318_id WHERE SCHEMA() IN ('alura', 'aluraproduction');</v>
      </c>
    </row>
    <row r="428" spans="1:4" ht="15" customHeight="1">
      <c r="A428" s="19" t="s">
        <v>985</v>
      </c>
      <c r="B428" s="14" t="s">
        <v>986</v>
      </c>
      <c r="C428" s="16" t="s">
        <v>116</v>
      </c>
      <c r="D428" s="36" t="str">
        <f t="shared" si="6"/>
        <v>INSERT INTO SkillAttribute(code, title) 
SELECT 'D319', 'Reconhecer consequências éticas do uso indevido de conteúdo digital.' 
WHERE NOT EXISTS (SELECT 1 FROM SkillAttribute WHERE code = 'D319') 
AND SCHEMA() IN ('alura', 'aluraproduction');
SET @skill_attribute_D319_id = (SELECT id FROM SkillAttribute WHERE code = 'D319');
INSERT INTO Skill_SkillAttribute(skill_id, skill_attribute_id) 
SELECT @skill_EF09CO09_id, @skill_attribute_D319_id WHERE SCHEMA() IN ('alura', 'aluraproduction');</v>
      </c>
    </row>
    <row r="429" spans="1:4" ht="15" customHeight="1">
      <c r="A429" s="19" t="s">
        <v>987</v>
      </c>
      <c r="B429" s="14" t="s">
        <v>988</v>
      </c>
      <c r="C429" s="16" t="s">
        <v>116</v>
      </c>
      <c r="D429" s="36" t="str">
        <f t="shared" si="6"/>
        <v>INSERT INTO SkillAttribute(code, title) 
SELECT 'D320', 'Reconhecer consequências legais do uso indevido de conteúdo digital.' 
WHERE NOT EXISTS (SELECT 1 FROM SkillAttribute WHERE code = 'D320') 
AND SCHEMA() IN ('alura', 'aluraproduction');
SET @skill_attribute_D320_id = (SELECT id FROM SkillAttribute WHERE code = 'D320');
INSERT INTO Skill_SkillAttribute(skill_id, skill_attribute_id) 
SELECT @skill_EF09CO09_id, @skill_attribute_D320_id WHERE SCHEMA() IN ('alura', 'aluraproduction');</v>
      </c>
    </row>
    <row r="430" spans="1:4" ht="15" customHeight="1">
      <c r="A430" s="19" t="s">
        <v>989</v>
      </c>
      <c r="B430" s="14" t="s">
        <v>990</v>
      </c>
      <c r="C430" s="16" t="s">
        <v>118</v>
      </c>
      <c r="D430" s="36" t="str">
        <f t="shared" si="6"/>
        <v>INSERT INTO SkillAttribute(code, title) 
SELECT 'D321', 'Compreender a importância de verificar a veracidade de uma informação.' 
WHERE NOT EXISTS (SELECT 1 FROM SkillAttribute WHERE code = 'D321') 
AND SCHEMA() IN ('alura', 'aluraproduction');
SET @skill_attribute_D321_id = (SELECT id FROM SkillAttribute WHERE code = 'D321');
INSERT INTO Skill_SkillAttribute(skill_id, skill_attribute_id) 
SELECT @skill_EF09CO10_id, @skill_attribute_D321_id WHERE SCHEMA() IN ('alura', 'aluraproduction');</v>
      </c>
    </row>
    <row r="431" spans="1:4" ht="15" customHeight="1">
      <c r="A431" s="19" t="s">
        <v>991</v>
      </c>
      <c r="B431" s="14" t="s">
        <v>992</v>
      </c>
      <c r="C431" s="16" t="s">
        <v>118</v>
      </c>
      <c r="D431" s="36" t="str">
        <f t="shared" si="6"/>
        <v>INSERT INTO SkillAttribute(code, title) 
SELECT 'D322', 'Compreender a importância de verificar a credibilidade de uma informação.' 
WHERE NOT EXISTS (SELECT 1 FROM SkillAttribute WHERE code = 'D322') 
AND SCHEMA() IN ('alura', 'aluraproduction');
SET @skill_attribute_D322_id = (SELECT id FROM SkillAttribute WHERE code = 'D322');
INSERT INTO Skill_SkillAttribute(skill_id, skill_attribute_id) 
SELECT @skill_EF09CO10_id, @skill_attribute_D322_id WHERE SCHEMA() IN ('alura', 'aluraproduction');</v>
      </c>
    </row>
    <row r="432" spans="1:4" ht="15" customHeight="1">
      <c r="A432" s="19" t="s">
        <v>993</v>
      </c>
      <c r="B432" s="14" t="s">
        <v>994</v>
      </c>
      <c r="C432" s="16" t="s">
        <v>118</v>
      </c>
      <c r="D432" s="36" t="str">
        <f t="shared" si="6"/>
        <v>INSERT INTO SkillAttribute(code, title) 
SELECT 'D323', 'Compreender a importância de verificar a relevância de uma informação.' 
WHERE NOT EXISTS (SELECT 1 FROM SkillAttribute WHERE code = 'D323') 
AND SCHEMA() IN ('alura', 'aluraproduction');
SET @skill_attribute_D323_id = (SELECT id FROM SkillAttribute WHERE code = 'D323');
INSERT INTO Skill_SkillAttribute(skill_id, skill_attribute_id) 
SELECT @skill_EF09CO10_id, @skill_attribute_D323_id WHERE SCHEMA() IN ('alura', 'aluraproduction');</v>
      </c>
    </row>
    <row r="433" spans="1:4" ht="15" customHeight="1">
      <c r="A433" s="19" t="s">
        <v>995</v>
      </c>
      <c r="B433" s="14" t="s">
        <v>996</v>
      </c>
      <c r="C433" s="16" t="s">
        <v>118</v>
      </c>
      <c r="D433" s="36" t="str">
        <f t="shared" si="6"/>
        <v>INSERT INTO SkillAttribute(code, title) 
SELECT 'D324', 'Analisar a veracidade de uma informação.' 
WHERE NOT EXISTS (SELECT 1 FROM SkillAttribute WHERE code = 'D324') 
AND SCHEMA() IN ('alura', 'aluraproduction');
SET @skill_attribute_D324_id = (SELECT id FROM SkillAttribute WHERE code = 'D324');
INSERT INTO Skill_SkillAttribute(skill_id, skill_attribute_id) 
SELECT @skill_EF09CO10_id, @skill_attribute_D324_id WHERE SCHEMA() IN ('alura', 'aluraproduction');</v>
      </c>
    </row>
    <row r="434" spans="1:4" ht="15" customHeight="1">
      <c r="A434" s="19" t="s">
        <v>997</v>
      </c>
      <c r="B434" s="14" t="s">
        <v>998</v>
      </c>
      <c r="C434" s="16" t="s">
        <v>118</v>
      </c>
      <c r="D434" s="36" t="str">
        <f t="shared" si="6"/>
        <v>INSERT INTO SkillAttribute(code, title) 
SELECT 'D325', 'Analisar a credibilidade de uma informação.' 
WHERE NOT EXISTS (SELECT 1 FROM SkillAttribute WHERE code = 'D325') 
AND SCHEMA() IN ('alura', 'aluraproduction');
SET @skill_attribute_D325_id = (SELECT id FROM SkillAttribute WHERE code = 'D325');
INSERT INTO Skill_SkillAttribute(skill_id, skill_attribute_id) 
SELECT @skill_EF09CO10_id, @skill_attribute_D325_id WHERE SCHEMA() IN ('alura', 'aluraproduction');</v>
      </c>
    </row>
    <row r="435" spans="1:4" ht="15" customHeight="1">
      <c r="A435" s="19" t="s">
        <v>999</v>
      </c>
      <c r="B435" s="14" t="s">
        <v>1000</v>
      </c>
      <c r="C435" s="16" t="s">
        <v>118</v>
      </c>
      <c r="D435" s="36" t="str">
        <f t="shared" si="6"/>
        <v>INSERT INTO SkillAttribute(code, title) 
SELECT 'D326', 'Analisar a relevância de uma informação.' 
WHERE NOT EXISTS (SELECT 1 FROM SkillAttribute WHERE code = 'D326') 
AND SCHEMA() IN ('alura', 'aluraproduction');
SET @skill_attribute_D326_id = (SELECT id FROM SkillAttribute WHERE code = 'D326');
INSERT INTO Skill_SkillAttribute(skill_id, skill_attribute_id) 
SELECT @skill_EF09CO10_id, @skill_attribute_D326_id WHERE SCHEMA() IN ('alura', 'aluraproduction');</v>
      </c>
    </row>
    <row r="436" spans="1:4" ht="15" customHeight="1">
      <c r="A436" s="19" t="s">
        <v>1001</v>
      </c>
      <c r="B436" s="14" t="s">
        <v>1002</v>
      </c>
      <c r="C436" s="16" t="s">
        <v>118</v>
      </c>
      <c r="D436" s="36" t="str">
        <f t="shared" si="6"/>
        <v>INSERT INTO SkillAttribute(code, title) 
SELECT 'D327', 'Identificar o objetivo da disseminação de uma informação.' 
WHERE NOT EXISTS (SELECT 1 FROM SkillAttribute WHERE code = 'D327') 
AND SCHEMA() IN ('alura', 'aluraproduction');
SET @skill_attribute_D327_id = (SELECT id FROM SkillAttribute WHERE code = 'D327');
INSERT INTO Skill_SkillAttribute(skill_id, skill_attribute_id) 
SELECT @skill_EF09CO10_id, @skill_attribute_D327_id WHERE SCHEMA() IN ('alura', 'aluraproduction');</v>
      </c>
    </row>
    <row r="437" spans="1:4" ht="15" customHeight="1">
      <c r="A437" s="19" t="s">
        <v>1003</v>
      </c>
      <c r="B437" s="14" t="s">
        <v>1004</v>
      </c>
      <c r="C437" s="16" t="s">
        <v>118</v>
      </c>
      <c r="D437" s="36" t="str">
        <f t="shared" si="6"/>
        <v>INSERT INTO SkillAttribute(code, title) 
SELECT 'D328', 'Relacionar o formato de uma informação ao seu propósito de divulgação.' 
WHERE NOT EXISTS (SELECT 1 FROM SkillAttribute WHERE code = 'D328') 
AND SCHEMA() IN ('alura', 'aluraproduction');
SET @skill_attribute_D328_id = (SELECT id FROM SkillAttribute WHERE code = 'D328');
INSERT INTO Skill_SkillAttribute(skill_id, skill_attribute_id) 
SELECT @skill_EF09CO10_id, @skill_attribute_D328_id WHERE SCHEMA() IN ('alura', 'aluraproduction');</v>
      </c>
    </row>
    <row r="438" spans="1:4" ht="15" customHeight="1">
      <c r="A438" s="19" t="s">
        <v>1005</v>
      </c>
      <c r="B438" s="14" t="s">
        <v>1006</v>
      </c>
      <c r="C438" s="16" t="s">
        <v>118</v>
      </c>
      <c r="D438" s="36" t="str">
        <f t="shared" si="6"/>
        <v>INSERT INTO SkillAttribute(code, title) 
SELECT 'D329', 'Reconhecer indícios de intenção persuasiva ou manipulativa em uma informação.' 
WHERE NOT EXISTS (SELECT 1 FROM SkillAttribute WHERE code = 'D329') 
AND SCHEMA() IN ('alura', 'aluraproduction');
SET @skill_attribute_D329_id = (SELECT id FROM SkillAttribute WHERE code = 'D329');
INSERT INTO Skill_SkillAttribute(skill_id, skill_attribute_id) 
SELECT @skill_EF09CO10_id, @skill_attribute_D329_id WHERE SCHEMA() IN ('alura', 'aluraproduction');</v>
      </c>
    </row>
    <row r="439" spans="1:4" ht="15" customHeight="1">
      <c r="A439" s="19" t="s">
        <v>1007</v>
      </c>
      <c r="B439" s="14" t="s">
        <v>1008</v>
      </c>
      <c r="C439" s="16" t="s">
        <v>120</v>
      </c>
      <c r="D439" s="36" t="str">
        <f t="shared" si="6"/>
        <v>INSERT INTO SkillAttribute(code, title) 
SELECT 'D330', 'Identificar partes de soluções existentes.' 
WHERE NOT EXISTS (SELECT 1 FROM SkillAttribute WHERE code = 'D330') 
AND SCHEMA() IN ('alura', 'aluraproduction');
SET @skill_attribute_D330_id = (SELECT id FROM SkillAttribute WHERE code = 'D330');
INSERT INTO Skill_SkillAttribute(skill_id, skill_attribute_id) 
SELECT @skill_EM13CO01_id, @skill_attribute_D330_id WHERE SCHEMA() IN ('alura', 'aluraproduction');</v>
      </c>
    </row>
    <row r="440" spans="1:4" ht="15" customHeight="1">
      <c r="A440" s="19" t="s">
        <v>1009</v>
      </c>
      <c r="B440" s="14" t="s">
        <v>1010</v>
      </c>
      <c r="C440" s="16" t="s">
        <v>120</v>
      </c>
      <c r="D440" s="36" t="str">
        <f t="shared" si="6"/>
        <v>INSERT INTO SkillAttribute(code, title) 
SELECT 'D331', 'Analisar a função de partes de soluções existentes na resolução de um problema.' 
WHERE NOT EXISTS (SELECT 1 FROM SkillAttribute WHERE code = 'D331') 
AND SCHEMA() IN ('alura', 'aluraproduction');
SET @skill_attribute_D331_id = (SELECT id FROM SkillAttribute WHERE code = 'D331');
INSERT INTO Skill_SkillAttribute(skill_id, skill_attribute_id) 
SELECT @skill_EM13CO01_id, @skill_attribute_D331_id WHERE SCHEMA() IN ('alura', 'aluraproduction');</v>
      </c>
    </row>
    <row r="441" spans="1:4" ht="15" customHeight="1">
      <c r="A441" s="19" t="s">
        <v>1011</v>
      </c>
      <c r="B441" s="14" t="s">
        <v>1012</v>
      </c>
      <c r="C441" s="16" t="s">
        <v>120</v>
      </c>
      <c r="D441" s="36" t="str">
        <f t="shared" si="6"/>
        <v>INSERT INTO SkillAttribute(code, title) 
SELECT 'D332', 'Identificar formas de reutilização de partes de soluções existentes na construção de novas soluções.' 
WHERE NOT EXISTS (SELECT 1 FROM SkillAttribute WHERE code = 'D332') 
AND SCHEMA() IN ('alura', 'aluraproduction');
SET @skill_attribute_D332_id = (SELECT id FROM SkillAttribute WHERE code = 'D332');
INSERT INTO Skill_SkillAttribute(skill_id, skill_attribute_id) 
SELECT @skill_EM13CO01_id, @skill_attribute_D332_id WHERE SCHEMA() IN ('alura', 'aluraproduction');</v>
      </c>
    </row>
    <row r="442" spans="1:4" ht="15" customHeight="1">
      <c r="A442" s="19" t="s">
        <v>1013</v>
      </c>
      <c r="B442" s="14" t="s">
        <v>1014</v>
      </c>
      <c r="C442" s="16" t="s">
        <v>120</v>
      </c>
      <c r="D442" s="36" t="str">
        <f t="shared" si="6"/>
        <v>INSERT INTO SkillAttribute(code, title) 
SELECT 'D333', 'Reconhecer situações em que é possível reutilizar partes de soluções existentes.' 
WHERE NOT EXISTS (SELECT 1 FROM SkillAttribute WHERE code = 'D333') 
AND SCHEMA() IN ('alura', 'aluraproduction');
SET @skill_attribute_D333_id = (SELECT id FROM SkillAttribute WHERE code = 'D333');
INSERT INTO Skill_SkillAttribute(skill_id, skill_attribute_id) 
SELECT @skill_EM13CO01_id, @skill_attribute_D333_id WHERE SCHEMA() IN ('alura', 'aluraproduction');</v>
      </c>
    </row>
    <row r="443" spans="1:4" ht="15" customHeight="1">
      <c r="A443" s="19" t="s">
        <v>1015</v>
      </c>
      <c r="B443" s="14" t="s">
        <v>1016</v>
      </c>
      <c r="C443" s="16" t="s">
        <v>120</v>
      </c>
      <c r="D443" s="36" t="str">
        <f t="shared" si="6"/>
        <v>INSERT INTO SkillAttribute(code, title) 
SELECT 'D334', 'Relacionar partes de uma solução existente com novas demandas de um problema.' 
WHERE NOT EXISTS (SELECT 1 FROM SkillAttribute WHERE code = 'D334') 
AND SCHEMA() IN ('alura', 'aluraproduction');
SET @skill_attribute_D334_id = (SELECT id FROM SkillAttribute WHERE code = 'D334');
INSERT INTO Skill_SkillAttribute(skill_id, skill_attribute_id) 
SELECT @skill_EM13CO01_id, @skill_attribute_D334_id WHERE SCHEMA() IN ('alura', 'aluraproduction');</v>
      </c>
    </row>
    <row r="444" spans="1:4" ht="15" customHeight="1">
      <c r="A444" s="19" t="s">
        <v>1017</v>
      </c>
      <c r="B444" s="14" t="s">
        <v>1018</v>
      </c>
      <c r="C444" s="16" t="s">
        <v>120</v>
      </c>
      <c r="D444" s="36" t="str">
        <f t="shared" si="6"/>
        <v>INSERT INTO SkillAttribute(code, title) 
SELECT 'D335', 'Analisar a reutilização de partes de soluções existentes na construção de novas soluções.' 
WHERE NOT EXISTS (SELECT 1 FROM SkillAttribute WHERE code = 'D335') 
AND SCHEMA() IN ('alura', 'aluraproduction');
SET @skill_attribute_D335_id = (SELECT id FROM SkillAttribute WHERE code = 'D335');
INSERT INTO Skill_SkillAttribute(skill_id, skill_attribute_id) 
SELECT @skill_EM13CO01_id, @skill_attribute_D335_id WHERE SCHEMA() IN ('alura', 'aluraproduction');</v>
      </c>
    </row>
    <row r="445" spans="1:4" ht="15" customHeight="1">
      <c r="A445" s="19" t="s">
        <v>1019</v>
      </c>
      <c r="B445" s="14" t="s">
        <v>1020</v>
      </c>
      <c r="C445" s="16" t="s">
        <v>120</v>
      </c>
      <c r="D445" s="36" t="str">
        <f t="shared" si="6"/>
        <v>INSERT INTO SkillAttribute(code, title) 
SELECT 'D336', 'Analisar a adequação de partes reutilizadas em diferentes contextos.' 
WHERE NOT EXISTS (SELECT 1 FROM SkillAttribute WHERE code = 'D336') 
AND SCHEMA() IN ('alura', 'aluraproduction');
SET @skill_attribute_D336_id = (SELECT id FROM SkillAttribute WHERE code = 'D336');
INSERT INTO Skill_SkillAttribute(skill_id, skill_attribute_id) 
SELECT @skill_EM13CO01_id, @skill_attribute_D336_id WHERE SCHEMA() IN ('alura', 'aluraproduction');</v>
      </c>
    </row>
    <row r="446" spans="1:4" ht="15" customHeight="1">
      <c r="A446" s="19" t="s">
        <v>1021</v>
      </c>
      <c r="B446" s="14" t="s">
        <v>1022</v>
      </c>
      <c r="C446" s="16" t="s">
        <v>120</v>
      </c>
      <c r="D446" s="36" t="str">
        <f t="shared" si="6"/>
        <v>INSERT INTO SkillAttribute(code, title) 
SELECT 'D337', 'Reconhecer princípios que orientam a reutilização de partes de soluções existentes.' 
WHERE NOT EXISTS (SELECT 1 FROM SkillAttribute WHERE code = 'D337') 
AND SCHEMA() IN ('alura', 'aluraproduction');
SET @skill_attribute_D337_id = (SELECT id FROM SkillAttribute WHERE code = 'D337');
INSERT INTO Skill_SkillAttribute(skill_id, skill_attribute_id) 
SELECT @skill_EM13CO01_id, @skill_attribute_D337_id WHERE SCHEMA() IN ('alura', 'aluraproduction');</v>
      </c>
    </row>
    <row r="447" spans="1:4" ht="15" customHeight="1">
      <c r="A447" s="19" t="s">
        <v>1023</v>
      </c>
      <c r="B447" s="14" t="s">
        <v>1024</v>
      </c>
      <c r="C447" s="16" t="s">
        <v>120</v>
      </c>
      <c r="D447" s="36" t="str">
        <f t="shared" si="6"/>
        <v>INSERT INTO SkillAttribute(code, title) 
SELECT 'D338', 'Identificar vantagens do uso de soluções reutilizáveis.' 
WHERE NOT EXISTS (SELECT 1 FROM SkillAttribute WHERE code = 'D338') 
AND SCHEMA() IN ('alura', 'aluraproduction');
SET @skill_attribute_D338_id = (SELECT id FROM SkillAttribute WHERE code = 'D338');
INSERT INTO Skill_SkillAttribute(skill_id, skill_attribute_id) 
SELECT @skill_EM13CO01_id, @skill_attribute_D338_id WHERE SCHEMA() IN ('alura', 'aluraproduction');</v>
      </c>
    </row>
    <row r="448" spans="1:4" ht="15" customHeight="1">
      <c r="A448" s="19" t="s">
        <v>1025</v>
      </c>
      <c r="B448" s="14" t="s">
        <v>1026</v>
      </c>
      <c r="C448" s="16" t="s">
        <v>122</v>
      </c>
      <c r="D448" s="36" t="str">
        <f t="shared" si="6"/>
        <v>INSERT INTO SkillAttribute(code, title) 
SELECT 'D339', 'Identificar formas de refinamento na construção da solução de um problema.' 
WHERE NOT EXISTS (SELECT 1 FROM SkillAttribute WHERE code = 'D339') 
AND SCHEMA() IN ('alura', 'aluraproduction');
SET @skill_attribute_D339_id = (SELECT id FROM SkillAttribute WHERE code = 'D339');
INSERT INTO Skill_SkillAttribute(skill_id, skill_attribute_id) 
SELECT @skill_EM13CO02_id, @skill_attribute_D339_id WHERE SCHEMA() IN ('alura', 'aluraproduction');</v>
      </c>
    </row>
    <row r="449" spans="1:4" ht="15" customHeight="1">
      <c r="A449" s="19" t="s">
        <v>1027</v>
      </c>
      <c r="B449" s="14" t="s">
        <v>1028</v>
      </c>
      <c r="C449" s="16" t="s">
        <v>122</v>
      </c>
      <c r="D449" s="36" t="str">
        <f t="shared" si="6"/>
        <v>INSERT INTO SkillAttribute(code, title) 
SELECT 'D340', 'Reconhecer estratégias utilizadas no refinamento de soluções para torná-las mais eficientes ou organizadas.' 
WHERE NOT EXISTS (SELECT 1 FROM SkillAttribute WHERE code = 'D340') 
AND SCHEMA() IN ('alura', 'aluraproduction');
SET @skill_attribute_D340_id = (SELECT id FROM SkillAttribute WHERE code = 'D340');
INSERT INTO Skill_SkillAttribute(skill_id, skill_attribute_id) 
SELECT @skill_EM13CO02_id, @skill_attribute_D340_id WHERE SCHEMA() IN ('alura', 'aluraproduction');</v>
      </c>
    </row>
    <row r="450" spans="1:4" ht="15" customHeight="1">
      <c r="A450" s="19" t="s">
        <v>1029</v>
      </c>
      <c r="B450" s="14" t="s">
        <v>1030</v>
      </c>
      <c r="C450" s="16" t="s">
        <v>122</v>
      </c>
      <c r="D450" s="36" t="str">
        <f t="shared" si="6"/>
        <v>INSERT INTO SkillAttribute(code, title) 
SELECT 'D341', 'Analisar refinamentos utilizados na solução de um problema.' 
WHERE NOT EXISTS (SELECT 1 FROM SkillAttribute WHERE code = 'D341') 
AND SCHEMA() IN ('alura', 'aluraproduction');
SET @skill_attribute_D341_id = (SELECT id FROM SkillAttribute WHERE code = 'D341');
INSERT INTO Skill_SkillAttribute(skill_id, skill_attribute_id) 
SELECT @skill_EM13CO02_id, @skill_attribute_D341_id WHERE SCHEMA() IN ('alura', 'aluraproduction');</v>
      </c>
    </row>
    <row r="451" spans="1:4" ht="15" customHeight="1">
      <c r="A451" s="19" t="s">
        <v>1031</v>
      </c>
      <c r="B451" s="14" t="s">
        <v>1032</v>
      </c>
      <c r="C451" s="16" t="s">
        <v>122</v>
      </c>
      <c r="D451" s="36" t="str">
        <f t="shared" ref="D451:D514" si="7">"INSERT INTO SkillAttribute(code, title) " &amp; CHAR(10) &amp;
"SELECT '" &amp; A451 &amp; "', '" &amp; SUBSTITUTE(B451, "'", "''") &amp; "' " &amp; CHAR(10) &amp;
"WHERE NOT EXISTS (SELECT 1 FROM SkillAttribute WHERE code = '" &amp; A451 &amp; "') " &amp; CHAR(10) &amp;
"AND SCHEMA() IN ('alura', 'aluraproduction');" &amp;
CHAR(10) &amp; CHAR(10) &amp;
"SET @skill_attribute_" &amp; A451 &amp; "_id = (SELECT id FROM SkillAttribute WHERE code = '" &amp; A451 &amp; "');" &amp;
CHAR(10) &amp; CHAR(10) &amp;
"INSERT INTO Skill_SkillAttribute(skill_id, skill_attribute_id) " &amp; CHAR(10) &amp;
"SELECT @skill_" &amp; C451 &amp; "_id, @skill_attribute_" &amp; A451 &amp; "_id WHERE SCHEMA() IN ('alura', 'aluraproduction');"</f>
        <v>INSERT INTO SkillAttribute(code, title) 
SELECT 'D342', 'Identificar soluções que envolvem diferentes níveis de abstração.' 
WHERE NOT EXISTS (SELECT 1 FROM SkillAttribute WHERE code = 'D342') 
AND SCHEMA() IN ('alura', 'aluraproduction');
SET @skill_attribute_D342_id = (SELECT id FROM SkillAttribute WHERE code = 'D342');
INSERT INTO Skill_SkillAttribute(skill_id, skill_attribute_id) 
SELECT @skill_EM13CO02_id, @skill_attribute_D342_id WHERE SCHEMA() IN ('alura', 'aluraproduction');</v>
      </c>
    </row>
    <row r="452" spans="1:4" ht="15" customHeight="1">
      <c r="A452" s="19" t="s">
        <v>1033</v>
      </c>
      <c r="B452" s="14" t="s">
        <v>1034</v>
      </c>
      <c r="C452" s="16" t="s">
        <v>122</v>
      </c>
      <c r="D452" s="36" t="str">
        <f t="shared" si="7"/>
        <v>INSERT INTO SkillAttribute(code, title) 
SELECT 'D343', 'Relacionar diferentes representações de uma solução com os respectivos níveis de abstração.' 
WHERE NOT EXISTS (SELECT 1 FROM SkillAttribute WHERE code = 'D343') 
AND SCHEMA() IN ('alura', 'aluraproduction');
SET @skill_attribute_D343_id = (SELECT id FROM SkillAttribute WHERE code = 'D343');
INSERT INTO Skill_SkillAttribute(skill_id, skill_attribute_id) 
SELECT @skill_EM13CO02_id, @skill_attribute_D343_id WHERE SCHEMA() IN ('alura', 'aluraproduction');</v>
      </c>
    </row>
    <row r="453" spans="1:4" ht="15" customHeight="1">
      <c r="A453" s="19" t="s">
        <v>1035</v>
      </c>
      <c r="B453" s="14" t="s">
        <v>1036</v>
      </c>
      <c r="C453" s="16" t="s">
        <v>122</v>
      </c>
      <c r="D453" s="36" t="str">
        <f t="shared" si="7"/>
        <v>INSERT INTO SkillAttribute(code, title) 
SELECT 'D344', 'Analisar soluções que envolvem os diferentes níveis de abstração.' 
WHERE NOT EXISTS (SELECT 1 FROM SkillAttribute WHERE code = 'D344') 
AND SCHEMA() IN ('alura', 'aluraproduction');
SET @skill_attribute_D344_id = (SELECT id FROM SkillAttribute WHERE code = 'D344');
INSERT INTO Skill_SkillAttribute(skill_id, skill_attribute_id) 
SELECT @skill_EM13CO02_id, @skill_attribute_D344_id WHERE SCHEMA() IN ('alura', 'aluraproduction');</v>
      </c>
    </row>
    <row r="454" spans="1:4" ht="15" customHeight="1">
      <c r="A454" s="19" t="s">
        <v>1037</v>
      </c>
      <c r="B454" s="14" t="s">
        <v>1038</v>
      </c>
      <c r="C454" s="16" t="s">
        <v>122</v>
      </c>
      <c r="D454" s="36" t="str">
        <f t="shared" si="7"/>
        <v>INSERT INTO SkillAttribute(code, title) 
SELECT 'D345', 'Identificar etapas de uma solução representadas em diferentes níveis de abstração.' 
WHERE NOT EXISTS (SELECT 1 FROM SkillAttribute WHERE code = 'D345') 
AND SCHEMA() IN ('alura', 'aluraproduction');
SET @skill_attribute_D345_id = (SELECT id FROM SkillAttribute WHERE code = 'D345');
INSERT INTO Skill_SkillAttribute(skill_id, skill_attribute_id) 
SELECT @skill_EM13CO02_id, @skill_attribute_D345_id WHERE SCHEMA() IN ('alura', 'aluraproduction');</v>
      </c>
    </row>
    <row r="455" spans="1:4" ht="15" customHeight="1">
      <c r="A455" s="19" t="s">
        <v>1039</v>
      </c>
      <c r="B455" s="14" t="s">
        <v>1040</v>
      </c>
      <c r="C455" s="16" t="s">
        <v>122</v>
      </c>
      <c r="D455" s="36" t="str">
        <f t="shared" si="7"/>
        <v>INSERT INTO SkillAttribute(code, title) 
SELECT 'D346', 'Relacionar uma especificação geral com sua implementação em linguagem de programação.' 
WHERE NOT EXISTS (SELECT 1 FROM SkillAttribute WHERE code = 'D346') 
AND SCHEMA() IN ('alura', 'aluraproduction');
SET @skill_attribute_D346_id = (SELECT id FROM SkillAttribute WHERE code = 'D346');
INSERT INTO Skill_SkillAttribute(skill_id, skill_attribute_id) 
SELECT @skill_EM13CO02_id, @skill_attribute_D346_id WHERE SCHEMA() IN ('alura', 'aluraproduction');</v>
      </c>
    </row>
    <row r="456" spans="1:4" ht="15" customHeight="1">
      <c r="A456" s="19" t="s">
        <v>1041</v>
      </c>
      <c r="B456" s="14" t="s">
        <v>1042</v>
      </c>
      <c r="C456" s="16" t="s">
        <v>122</v>
      </c>
      <c r="D456" s="36" t="str">
        <f t="shared" si="7"/>
        <v>INSERT INTO SkillAttribute(code, title) 
SELECT 'D347', 'Analisar a coerência entre diferentes níveis de abstração em uma mesma solução.' 
WHERE NOT EXISTS (SELECT 1 FROM SkillAttribute WHERE code = 'D347') 
AND SCHEMA() IN ('alura', 'aluraproduction');
SET @skill_attribute_D347_id = (SELECT id FROM SkillAttribute WHERE code = 'D347');
INSERT INTO Skill_SkillAttribute(skill_id, skill_attribute_id) 
SELECT @skill_EM13CO02_id, @skill_attribute_D347_id WHERE SCHEMA() IN ('alura', 'aluraproduction');</v>
      </c>
    </row>
    <row r="457" spans="1:4" ht="15" customHeight="1">
      <c r="A457" s="22" t="s">
        <v>1043</v>
      </c>
      <c r="B457" s="14" t="s">
        <v>1044</v>
      </c>
      <c r="C457" s="16" t="s">
        <v>124</v>
      </c>
      <c r="D457" s="36" t="str">
        <f t="shared" si="7"/>
        <v>INSERT INTO SkillAttribute(code, title) 
SELECT 'D348', 'Identificar comportamentos de algoritmos relacionados ao consumo de recursos.' 
WHERE NOT EXISTS (SELECT 1 FROM SkillAttribute WHERE code = 'D348') 
AND SCHEMA() IN ('alura', 'aluraproduction');
SET @skill_attribute_D348_id = (SELECT id FROM SkillAttribute WHERE code = 'D348');
INSERT INTO Skill_SkillAttribute(skill_id, skill_attribute_id) 
SELECT @skill_EM13CO03_id, @skill_attribute_D348_id WHERE SCHEMA() IN ('alura', 'aluraproduction');</v>
      </c>
    </row>
    <row r="458" spans="1:4" ht="15" customHeight="1">
      <c r="A458" s="22" t="s">
        <v>1045</v>
      </c>
      <c r="B458" s="14" t="s">
        <v>1046</v>
      </c>
      <c r="C458" s="16" t="s">
        <v>124</v>
      </c>
      <c r="D458" s="36" t="str">
        <f t="shared" si="7"/>
        <v>INSERT INTO SkillAttribute(code, title) 
SELECT 'D349', 'Identificar o tempo de execução de um algoritmo.' 
WHERE NOT EXISTS (SELECT 1 FROM SkillAttribute WHERE code = 'D349') 
AND SCHEMA() IN ('alura', 'aluraproduction');
SET @skill_attribute_D349_id = (SELECT id FROM SkillAttribute WHERE code = 'D349');
INSERT INTO Skill_SkillAttribute(skill_id, skill_attribute_id) 
SELECT @skill_EM13CO03_id, @skill_attribute_D349_id WHERE SCHEMA() IN ('alura', 'aluraproduction');</v>
      </c>
    </row>
    <row r="459" spans="1:4" ht="15" customHeight="1">
      <c r="A459" s="22" t="s">
        <v>1047</v>
      </c>
      <c r="B459" s="14" t="s">
        <v>1048</v>
      </c>
      <c r="C459" s="16" t="s">
        <v>124</v>
      </c>
      <c r="D459" s="36" t="str">
        <f t="shared" si="7"/>
        <v>INSERT INTO SkillAttribute(code, title) 
SELECT 'D350', 'Identificar o consumo de espaço de memória de um algoritmo.' 
WHERE NOT EXISTS (SELECT 1 FROM SkillAttribute WHERE code = 'D350') 
AND SCHEMA() IN ('alura', 'aluraproduction');
SET @skill_attribute_D350_id = (SELECT id FROM SkillAttribute WHERE code = 'D350');
INSERT INTO Skill_SkillAttribute(skill_id, skill_attribute_id) 
SELECT @skill_EM13CO03_id, @skill_attribute_D350_id WHERE SCHEMA() IN ('alura', 'aluraproduction');</v>
      </c>
    </row>
    <row r="460" spans="1:4" ht="15" customHeight="1">
      <c r="A460" s="22" t="s">
        <v>1049</v>
      </c>
      <c r="B460" s="14" t="s">
        <v>1050</v>
      </c>
      <c r="C460" s="16" t="s">
        <v>124</v>
      </c>
      <c r="D460" s="36" t="str">
        <f t="shared" si="7"/>
        <v>INSERT INTO SkillAttribute(code, title) 
SELECT 'D351', 'Identificar o consumo de energia de um algoritmo.' 
WHERE NOT EXISTS (SELECT 1 FROM SkillAttribute WHERE code = 'D351') 
AND SCHEMA() IN ('alura', 'aluraproduction');
SET @skill_attribute_D351_id = (SELECT id FROM SkillAttribute WHERE code = 'D351');
INSERT INTO Skill_SkillAttribute(skill_id, skill_attribute_id) 
SELECT @skill_EM13CO03_id, @skill_attribute_D351_id WHERE SCHEMA() IN ('alura', 'aluraproduction');</v>
      </c>
    </row>
    <row r="461" spans="1:4" ht="15" customHeight="1">
      <c r="A461" s="22" t="s">
        <v>1051</v>
      </c>
      <c r="B461" s="14" t="s">
        <v>1052</v>
      </c>
      <c r="C461" s="16" t="s">
        <v>124</v>
      </c>
      <c r="D461" s="36" t="str">
        <f t="shared" si="7"/>
        <v>INSERT INTO SkillAttribute(code, title) 
SELECT 'D352', 'Compreender como algoritmos consomem tempo de execução em diferentes situações.' 
WHERE NOT EXISTS (SELECT 1 FROM SkillAttribute WHERE code = 'D352') 
AND SCHEMA() IN ('alura', 'aluraproduction');
SET @skill_attribute_D352_id = (SELECT id FROM SkillAttribute WHERE code = 'D352');
INSERT INTO Skill_SkillAttribute(skill_id, skill_attribute_id) 
SELECT @skill_EM13CO03_id, @skill_attribute_D352_id WHERE SCHEMA() IN ('alura', 'aluraproduction');</v>
      </c>
    </row>
    <row r="462" spans="1:4" ht="15" customHeight="1">
      <c r="A462" s="22" t="s">
        <v>1053</v>
      </c>
      <c r="B462" s="14" t="s">
        <v>1054</v>
      </c>
      <c r="C462" s="16" t="s">
        <v>124</v>
      </c>
      <c r="D462" s="36" t="str">
        <f t="shared" si="7"/>
        <v>INSERT INTO SkillAttribute(code, title) 
SELECT 'D353', 'Compreender como algoritmos utilizam espaço de memória conforme sua estrutura.' 
WHERE NOT EXISTS (SELECT 1 FROM SkillAttribute WHERE code = 'D353') 
AND SCHEMA() IN ('alura', 'aluraproduction');
SET @skill_attribute_D353_id = (SELECT id FROM SkillAttribute WHERE code = 'D353');
INSERT INTO Skill_SkillAttribute(skill_id, skill_attribute_id) 
SELECT @skill_EM13CO03_id, @skill_attribute_D353_id WHERE SCHEMA() IN ('alura', 'aluraproduction');</v>
      </c>
    </row>
    <row r="463" spans="1:4" ht="15" customHeight="1">
      <c r="A463" s="22" t="s">
        <v>1055</v>
      </c>
      <c r="B463" s="14" t="s">
        <v>1056</v>
      </c>
      <c r="C463" s="16" t="s">
        <v>124</v>
      </c>
      <c r="D463" s="36" t="str">
        <f t="shared" si="7"/>
        <v>INSERT INTO SkillAttribute(code, title) 
SELECT 'D354', 'Compreender os fatores que afetam o consumo de energia de um algoritmo.' 
WHERE NOT EXISTS (SELECT 1 FROM SkillAttribute WHERE code = 'D354') 
AND SCHEMA() IN ('alura', 'aluraproduction');
SET @skill_attribute_D354_id = (SELECT id FROM SkillAttribute WHERE code = 'D354');
INSERT INTO Skill_SkillAttribute(skill_id, skill_attribute_id) 
SELECT @skill_EM13CO03_id, @skill_attribute_D354_id WHERE SCHEMA() IN ('alura', 'aluraproduction');</v>
      </c>
    </row>
    <row r="464" spans="1:4" ht="15" customHeight="1">
      <c r="A464" s="22" t="s">
        <v>1057</v>
      </c>
      <c r="B464" s="14" t="s">
        <v>1058</v>
      </c>
      <c r="C464" s="16" t="s">
        <v>124</v>
      </c>
      <c r="D464" s="36" t="str">
        <f t="shared" si="7"/>
        <v>INSERT INTO SkillAttribute(code, title) 
SELECT 'D355', 'Compreender o comportamento dos algoritmos em relação ao uso de recursos computacionais.' 
WHERE NOT EXISTS (SELECT 1 FROM SkillAttribute WHERE code = 'D355') 
AND SCHEMA() IN ('alura', 'aluraproduction');
SET @skill_attribute_D355_id = (SELECT id FROM SkillAttribute WHERE code = 'D355');
INSERT INTO Skill_SkillAttribute(skill_id, skill_attribute_id) 
SELECT @skill_EM13CO03_id, @skill_attribute_D355_id WHERE SCHEMA() IN ('alura', 'aluraproduction');</v>
      </c>
    </row>
    <row r="465" spans="1:4" ht="15" customHeight="1">
      <c r="A465" s="22" t="s">
        <v>1059</v>
      </c>
      <c r="B465" s="14" t="s">
        <v>1060</v>
      </c>
      <c r="C465" s="16" t="s">
        <v>124</v>
      </c>
      <c r="D465" s="36" t="str">
        <f t="shared" si="7"/>
        <v>INSERT INTO SkillAttribute(code, title) 
SELECT 'D356', 'Analisar o impacto do tempo de execução na escolha de algoritmos.' 
WHERE NOT EXISTS (SELECT 1 FROM SkillAttribute WHERE code = 'D356') 
AND SCHEMA() IN ('alura', 'aluraproduction');
SET @skill_attribute_D356_id = (SELECT id FROM SkillAttribute WHERE code = 'D356');
INSERT INTO Skill_SkillAttribute(skill_id, skill_attribute_id) 
SELECT @skill_EM13CO03_id, @skill_attribute_D356_id WHERE SCHEMA() IN ('alura', 'aluraproduction');</v>
      </c>
    </row>
    <row r="466" spans="1:4" ht="15" customHeight="1">
      <c r="A466" s="22" t="s">
        <v>1061</v>
      </c>
      <c r="B466" s="14" t="s">
        <v>1062</v>
      </c>
      <c r="C466" s="16" t="s">
        <v>124</v>
      </c>
      <c r="D466" s="36" t="str">
        <f t="shared" si="7"/>
        <v>INSERT INTO SkillAttribute(code, title) 
SELECT 'D357', 'Analisar o impacto do consumo de memória na eficiência de uma solução computacional.' 
WHERE NOT EXISTS (SELECT 1 FROM SkillAttribute WHERE code = 'D357') 
AND SCHEMA() IN ('alura', 'aluraproduction');
SET @skill_attribute_D357_id = (SELECT id FROM SkillAttribute WHERE code = 'D357');
INSERT INTO Skill_SkillAttribute(skill_id, skill_attribute_id) 
SELECT @skill_EM13CO03_id, @skill_attribute_D357_id WHERE SCHEMA() IN ('alura', 'aluraproduction');</v>
      </c>
    </row>
    <row r="467" spans="1:4" ht="15" customHeight="1">
      <c r="A467" s="22" t="s">
        <v>1063</v>
      </c>
      <c r="B467" s="14" t="s">
        <v>1064</v>
      </c>
      <c r="C467" s="16" t="s">
        <v>124</v>
      </c>
      <c r="D467" s="36" t="str">
        <f t="shared" si="7"/>
        <v>INSERT INTO SkillAttribute(code, title) 
SELECT 'D358', 'Analisar o comportamento de algoritmos em relação ao consumo de recursos computacionais.' 
WHERE NOT EXISTS (SELECT 1 FROM SkillAttribute WHERE code = 'D358') 
AND SCHEMA() IN ('alura', 'aluraproduction');
SET @skill_attribute_D358_id = (SELECT id FROM SkillAttribute WHERE code = 'D358');
INSERT INTO Skill_SkillAttribute(skill_id, skill_attribute_id) 
SELECT @skill_EM13CO03_id, @skill_attribute_D358_id WHERE SCHEMA() IN ('alura', 'aluraproduction');</v>
      </c>
    </row>
    <row r="468" spans="1:4" ht="15" customHeight="1">
      <c r="A468" s="20" t="s">
        <v>1065</v>
      </c>
      <c r="B468" s="15" t="s">
        <v>1066</v>
      </c>
      <c r="C468" s="16" t="s">
        <v>126</v>
      </c>
      <c r="D468" s="36" t="str">
        <f t="shared" si="7"/>
        <v>INSERT INTO SkillAttribute(code, title) 
SELECT 'D561', 'Identificar o conceito de metaprogramação.' 
WHERE NOT EXISTS (SELECT 1 FROM SkillAttribute WHERE code = 'D561') 
AND SCHEMA() IN ('alura', 'aluraproduction');
SET @skill_attribute_D561_id = (SELECT id FROM SkillAttribute WHERE code = 'D561');
INSERT INTO Skill_SkillAttribute(skill_id, skill_attribute_id) 
SELECT @skill_EM13CO04_id, @skill_attribute_D561_id WHERE SCHEMA() IN ('alura', 'aluraproduction');</v>
      </c>
    </row>
    <row r="469" spans="1:4" ht="15" customHeight="1">
      <c r="A469" s="20" t="s">
        <v>1067</v>
      </c>
      <c r="B469" s="15" t="s">
        <v>1068</v>
      </c>
      <c r="C469" s="16" t="s">
        <v>126</v>
      </c>
      <c r="D469" s="36" t="str">
        <f t="shared" si="7"/>
        <v>INSERT INTO SkillAttribute(code, title) 
SELECT 'D562', 'Compreender como a metaprogramação generaliza estruturas de código.' 
WHERE NOT EXISTS (SELECT 1 FROM SkillAttribute WHERE code = 'D562') 
AND SCHEMA() IN ('alura', 'aluraproduction');
SET @skill_attribute_D562_id = (SELECT id FROM SkillAttribute WHERE code = 'D562');
INSERT INTO Skill_SkillAttribute(skill_id, skill_attribute_id) 
SELECT @skill_EM13CO04_id, @skill_attribute_D562_id WHERE SCHEMA() IN ('alura', 'aluraproduction');</v>
      </c>
    </row>
    <row r="470" spans="1:4" ht="15" customHeight="1">
      <c r="A470" s="20" t="s">
        <v>1069</v>
      </c>
      <c r="B470" s="15" t="s">
        <v>1070</v>
      </c>
      <c r="C470" s="16" t="s">
        <v>126</v>
      </c>
      <c r="D470" s="36" t="str">
        <f t="shared" si="7"/>
        <v>INSERT INTO SkillAttribute(code, title) 
SELECT 'D563', 'Analisar o papel de algoritmos que produzem outros algoritmos.' 
WHERE NOT EXISTS (SELECT 1 FROM SkillAttribute WHERE code = 'D563') 
AND SCHEMA() IN ('alura', 'aluraproduction');
SET @skill_attribute_D563_id = (SELECT id FROM SkillAttribute WHERE code = 'D563');
INSERT INTO Skill_SkillAttribute(skill_id, skill_attribute_id) 
SELECT @skill_EM13CO04_id, @skill_attribute_D563_id WHERE SCHEMA() IN ('alura', 'aluraproduction');</v>
      </c>
    </row>
    <row r="471" spans="1:4" ht="15" customHeight="1">
      <c r="A471" s="20" t="s">
        <v>1071</v>
      </c>
      <c r="B471" s="15" t="s">
        <v>1072</v>
      </c>
      <c r="C471" s="16" t="s">
        <v>126</v>
      </c>
      <c r="D471" s="36" t="str">
        <f t="shared" si="7"/>
        <v>INSERT INTO SkillAttribute(code, title) 
SELECT 'D564', 'Analisar o papel de algoritmos que manipulam outros algoritmos.' 
WHERE NOT EXISTS (SELECT 1 FROM SkillAttribute WHERE code = 'D564') 
AND SCHEMA() IN ('alura', 'aluraproduction');
SET @skill_attribute_D564_id = (SELECT id FROM SkillAttribute WHERE code = 'D564');
INSERT INTO Skill_SkillAttribute(skill_id, skill_attribute_id) 
SELECT @skill_EM13CO04_id, @skill_attribute_D564_id WHERE SCHEMA() IN ('alura', 'aluraproduction');</v>
      </c>
    </row>
    <row r="472" spans="1:4" ht="15" customHeight="1">
      <c r="A472" s="20" t="s">
        <v>1073</v>
      </c>
      <c r="B472" s="15" t="s">
        <v>1074</v>
      </c>
      <c r="C472" s="16" t="s">
        <v>126</v>
      </c>
      <c r="D472" s="36" t="str">
        <f t="shared" si="7"/>
        <v>INSERT INTO SkillAttribute(code, title) 
SELECT 'D565', 'Identificar situações em que um programa pode gerar código.' 
WHERE NOT EXISTS (SELECT 1 FROM SkillAttribute WHERE code = 'D565') 
AND SCHEMA() IN ('alura', 'aluraproduction');
SET @skill_attribute_D565_id = (SELECT id FROM SkillAttribute WHERE code = 'D565');
INSERT INTO Skill_SkillAttribute(skill_id, skill_attribute_id) 
SELECT @skill_EM13CO04_id, @skill_attribute_D565_id WHERE SCHEMA() IN ('alura', 'aluraproduction');</v>
      </c>
    </row>
    <row r="473" spans="1:4" ht="15" customHeight="1">
      <c r="A473" s="20" t="s">
        <v>1075</v>
      </c>
      <c r="B473" s="15" t="s">
        <v>1076</v>
      </c>
      <c r="C473" s="16" t="s">
        <v>126</v>
      </c>
      <c r="D473" s="36" t="str">
        <f t="shared" si="7"/>
        <v>INSERT INTO SkillAttribute(code, title) 
SELECT 'D566', 'Identificar situações em que um programa pode modificar código.' 
WHERE NOT EXISTS (SELECT 1 FROM SkillAttribute WHERE code = 'D566') 
AND SCHEMA() IN ('alura', 'aluraproduction');
SET @skill_attribute_D566_id = (SELECT id FROM SkillAttribute WHERE code = 'D566');
INSERT INTO Skill_SkillAttribute(skill_id, skill_attribute_id) 
SELECT @skill_EM13CO04_id, @skill_attribute_D566_id WHERE SCHEMA() IN ('alura', 'aluraproduction');</v>
      </c>
    </row>
    <row r="474" spans="1:4" ht="15" customHeight="1">
      <c r="A474" s="20" t="s">
        <v>1077</v>
      </c>
      <c r="B474" s="15" t="s">
        <v>1078</v>
      </c>
      <c r="C474" s="16" t="s">
        <v>126</v>
      </c>
      <c r="D474" s="36" t="str">
        <f t="shared" si="7"/>
        <v>INSERT INTO SkillAttribute(code, title) 
SELECT 'D567', 'Compreender os benefícios da metaprogramação para a reutilização de soluções.' 
WHERE NOT EXISTS (SELECT 1 FROM SkillAttribute WHERE code = 'D567') 
AND SCHEMA() IN ('alura', 'aluraproduction');
SET @skill_attribute_D567_id = (SELECT id FROM SkillAttribute WHERE code = 'D567');
INSERT INTO Skill_SkillAttribute(skill_id, skill_attribute_id) 
SELECT @skill_EM13CO04_id, @skill_attribute_D567_id WHERE SCHEMA() IN ('alura', 'aluraproduction');</v>
      </c>
    </row>
    <row r="475" spans="1:4" ht="15" customHeight="1">
      <c r="A475" s="20" t="s">
        <v>1079</v>
      </c>
      <c r="B475" s="15" t="s">
        <v>1080</v>
      </c>
      <c r="C475" s="16" t="s">
        <v>126</v>
      </c>
      <c r="D475" s="36" t="str">
        <f t="shared" si="7"/>
        <v>INSERT INTO SkillAttribute(code, title) 
SELECT 'D568', 'Analisar implicações de usar metaprogramação em projetos de software.' 
WHERE NOT EXISTS (SELECT 1 FROM SkillAttribute WHERE code = 'D568') 
AND SCHEMA() IN ('alura', 'aluraproduction');
SET @skill_attribute_D568_id = (SELECT id FROM SkillAttribute WHERE code = 'D568');
INSERT INTO Skill_SkillAttribute(skill_id, skill_attribute_id) 
SELECT @skill_EM13CO04_id, @skill_attribute_D568_id WHERE SCHEMA() IN ('alura', 'aluraproduction');</v>
      </c>
    </row>
    <row r="476" spans="1:4" ht="15" customHeight="1">
      <c r="A476" s="20" t="s">
        <v>1081</v>
      </c>
      <c r="B476" s="15" t="s">
        <v>1082</v>
      </c>
      <c r="C476" s="16" t="s">
        <v>126</v>
      </c>
      <c r="D476" s="36" t="str">
        <f t="shared" si="7"/>
        <v>INSERT INTO SkillAttribute(code, title) 
SELECT 'D569', 'Distinguir metaprogramação de programação estática tradicional.' 
WHERE NOT EXISTS (SELECT 1 FROM SkillAttribute WHERE code = 'D569') 
AND SCHEMA() IN ('alura', 'aluraproduction');
SET @skill_attribute_D569_id = (SELECT id FROM SkillAttribute WHERE code = 'D569');
INSERT INTO Skill_SkillAttribute(skill_id, skill_attribute_id) 
SELECT @skill_EM13CO04_id, @skill_attribute_D569_id WHERE SCHEMA() IN ('alura', 'aluraproduction');</v>
      </c>
    </row>
    <row r="477" spans="1:4" ht="15" customHeight="1">
      <c r="A477" s="20" t="s">
        <v>1083</v>
      </c>
      <c r="B477" s="15" t="s">
        <v>1084</v>
      </c>
      <c r="C477" s="16" t="s">
        <v>126</v>
      </c>
      <c r="D477" s="36" t="str">
        <f t="shared" si="7"/>
        <v>INSERT INTO SkillAttribute(code, title) 
SELECT 'D570', 'Identificar características que diferenciam código gerado de código escrito manualmente.' 
WHERE NOT EXISTS (SELECT 1 FROM SkillAttribute WHERE code = 'D570') 
AND SCHEMA() IN ('alura', 'aluraproduction');
SET @skill_attribute_D570_id = (SELECT id FROM SkillAttribute WHERE code = 'D570');
INSERT INTO Skill_SkillAttribute(skill_id, skill_attribute_id) 
SELECT @skill_EM13CO04_id, @skill_attribute_D570_id WHERE SCHEMA() IN ('alura', 'aluraproduction');</v>
      </c>
    </row>
    <row r="478" spans="1:4" ht="15" customHeight="1">
      <c r="A478" s="22" t="s">
        <v>1085</v>
      </c>
      <c r="B478" s="14" t="s">
        <v>1086</v>
      </c>
      <c r="C478" s="16" t="s">
        <v>128</v>
      </c>
      <c r="D478" s="36" t="str">
        <f t="shared" si="7"/>
        <v>INSERT INTO SkillAttribute(code, title) 
SELECT 'D359', 'Compreender o conceito de Computação.' 
WHERE NOT EXISTS (SELECT 1 FROM SkillAttribute WHERE code = 'D359') 
AND SCHEMA() IN ('alura', 'aluraproduction');
SET @skill_attribute_D359_id = (SELECT id FROM SkillAttribute WHERE code = 'D359');
INSERT INTO Skill_SkillAttribute(skill_id, skill_attribute_id) 
SELECT @skill_EM13CO05_id, @skill_attribute_D359_id WHERE SCHEMA() IN ('alura', 'aluraproduction');</v>
      </c>
    </row>
    <row r="479" spans="1:4" ht="15" customHeight="1">
      <c r="A479" s="22" t="s">
        <v>1087</v>
      </c>
      <c r="B479" s="14" t="s">
        <v>1088</v>
      </c>
      <c r="C479" s="16" t="s">
        <v>128</v>
      </c>
      <c r="D479" s="36" t="str">
        <f t="shared" si="7"/>
        <v>INSERT INTO SkillAttribute(code, title) 
SELECT 'D360', 'Identificar os limites da Computação.' 
WHERE NOT EXISTS (SELECT 1 FROM SkillAttribute WHERE code = 'D360') 
AND SCHEMA() IN ('alura', 'aluraproduction');
SET @skill_attribute_D360_id = (SELECT id FROM SkillAttribute WHERE code = 'D360');
INSERT INTO Skill_SkillAttribute(skill_id, skill_attribute_id) 
SELECT @skill_EM13CO05_id, @skill_attribute_D360_id WHERE SCHEMA() IN ('alura', 'aluraproduction');</v>
      </c>
    </row>
    <row r="480" spans="1:4" ht="15" customHeight="1">
      <c r="A480" s="22" t="s">
        <v>1089</v>
      </c>
      <c r="B480" s="14" t="s">
        <v>1090</v>
      </c>
      <c r="C480" s="16" t="s">
        <v>128</v>
      </c>
      <c r="D480" s="36" t="str">
        <f t="shared" si="7"/>
        <v>INSERT INTO SkillAttribute(code, title) 
SELECT 'D361', 'Compreender os limites da Computação.' 
WHERE NOT EXISTS (SELECT 1 FROM SkillAttribute WHERE code = 'D361') 
AND SCHEMA() IN ('alura', 'aluraproduction');
SET @skill_attribute_D361_id = (SELECT id FROM SkillAttribute WHERE code = 'D361');
INSERT INTO Skill_SkillAttribute(skill_id, skill_attribute_id) 
SELECT @skill_EM13CO05_id, @skill_attribute_D361_id WHERE SCHEMA() IN ('alura', 'aluraproduction');</v>
      </c>
    </row>
    <row r="481" spans="1:4" ht="15" customHeight="1">
      <c r="A481" s="22" t="s">
        <v>1091</v>
      </c>
      <c r="B481" s="14" t="s">
        <v>1092</v>
      </c>
      <c r="C481" s="16" t="s">
        <v>128</v>
      </c>
      <c r="D481" s="36" t="str">
        <f t="shared" si="7"/>
        <v>INSERT INTO SkillAttribute(code, title) 
SELECT 'D362', 'Reconhecer possibilidades de automatização na Computação.' 
WHERE NOT EXISTS (SELECT 1 FROM SkillAttribute WHERE code = 'D362') 
AND SCHEMA() IN ('alura', 'aluraproduction');
SET @skill_attribute_D362_id = (SELECT id FROM SkillAttribute WHERE code = 'D362');
INSERT INTO Skill_SkillAttribute(skill_id, skill_attribute_id) 
SELECT @skill_EM13CO05_id, @skill_attribute_D362_id WHERE SCHEMA() IN ('alura', 'aluraproduction');</v>
      </c>
    </row>
    <row r="482" spans="1:4" ht="15" customHeight="1">
      <c r="A482" s="22" t="s">
        <v>1093</v>
      </c>
      <c r="B482" s="14" t="s">
        <v>1094</v>
      </c>
      <c r="C482" s="16" t="s">
        <v>128</v>
      </c>
      <c r="D482" s="36" t="str">
        <f t="shared" si="7"/>
        <v>INSERT INTO SkillAttribute(code, title) 
SELECT 'D363', 'Reconhecer limitações da automatização na Computação.' 
WHERE NOT EXISTS (SELECT 1 FROM SkillAttribute WHERE code = 'D363') 
AND SCHEMA() IN ('alura', 'aluraproduction');
SET @skill_attribute_D363_id = (SELECT id FROM SkillAttribute WHERE code = 'D363');
INSERT INTO Skill_SkillAttribute(skill_id, skill_attribute_id) 
SELECT @skill_EM13CO05_id, @skill_attribute_D363_id WHERE SCHEMA() IN ('alura', 'aluraproduction');</v>
      </c>
    </row>
    <row r="483" spans="1:4" ht="15" customHeight="1">
      <c r="A483" s="22" t="s">
        <v>1095</v>
      </c>
      <c r="B483" s="14" t="s">
        <v>1096</v>
      </c>
      <c r="C483" s="16" t="s">
        <v>128</v>
      </c>
      <c r="D483" s="36" t="str">
        <f t="shared" si="7"/>
        <v>INSERT INTO SkillAttribute(code, title) 
SELECT 'D364', 'Compreender os critérios que tornam uma tarefa automatizável na Computação.' 
WHERE NOT EXISTS (SELECT 1 FROM SkillAttribute WHERE code = 'D364') 
AND SCHEMA() IN ('alura', 'aluraproduction');
SET @skill_attribute_D364_id = (SELECT id FROM SkillAttribute WHERE code = 'D364');
INSERT INTO Skill_SkillAttribute(skill_id, skill_attribute_id) 
SELECT @skill_EM13CO05_id, @skill_attribute_D364_id WHERE SCHEMA() IN ('alura', 'aluraproduction');</v>
      </c>
    </row>
    <row r="484" spans="1:4" ht="15" customHeight="1">
      <c r="A484" s="22" t="s">
        <v>1097</v>
      </c>
      <c r="B484" s="14" t="s">
        <v>1098</v>
      </c>
      <c r="C484" s="16" t="s">
        <v>128</v>
      </c>
      <c r="D484" s="36" t="str">
        <f t="shared" si="7"/>
        <v>INSERT INTO SkillAttribute(code, title) 
SELECT 'D365', 'Reconhecer os processos mentais humanos relacionados à resolução de problemas.' 
WHERE NOT EXISTS (SELECT 1 FROM SkillAttribute WHERE code = 'D365') 
AND SCHEMA() IN ('alura', 'aluraproduction');
SET @skill_attribute_D365_id = (SELECT id FROM SkillAttribute WHERE code = 'D365');
INSERT INTO Skill_SkillAttribute(skill_id, skill_attribute_id) 
SELECT @skill_EM13CO05_id, @skill_attribute_D365_id WHERE SCHEMA() IN ('alura', 'aluraproduction');</v>
      </c>
    </row>
    <row r="485" spans="1:4" ht="15" customHeight="1">
      <c r="A485" s="22" t="s">
        <v>1099</v>
      </c>
      <c r="B485" s="14" t="s">
        <v>1100</v>
      </c>
      <c r="C485" s="16" t="s">
        <v>128</v>
      </c>
      <c r="D485" s="36" t="str">
        <f t="shared" si="7"/>
        <v>INSERT INTO SkillAttribute(code, title) 
SELECT 'D366', 'Diferenciar tarefas que podem ser automatizadas das que requerem processos mentais humanos.' 
WHERE NOT EXISTS (SELECT 1 FROM SkillAttribute WHERE code = 'D366') 
AND SCHEMA() IN ('alura', 'aluraproduction');
SET @skill_attribute_D366_id = (SELECT id FROM SkillAttribute WHERE code = 'D366');
INSERT INTO Skill_SkillAttribute(skill_id, skill_attribute_id) 
SELECT @skill_EM13CO05_id, @skill_attribute_D366_id WHERE SCHEMA() IN ('alura', 'aluraproduction');</v>
      </c>
    </row>
    <row r="486" spans="1:4" ht="15" customHeight="1">
      <c r="A486" s="22" t="s">
        <v>1101</v>
      </c>
      <c r="B486" s="14" t="s">
        <v>1102</v>
      </c>
      <c r="C486" s="16" t="s">
        <v>128</v>
      </c>
      <c r="D486" s="36" t="str">
        <f t="shared" si="7"/>
        <v>INSERT INTO SkillAttribute(code, title) 
SELECT 'D367', 'Analisar a relação entre processos mentais humanos e a resolução de problemas computacionais.' 
WHERE NOT EXISTS (SELECT 1 FROM SkillAttribute WHERE code = 'D367') 
AND SCHEMA() IN ('alura', 'aluraproduction');
SET @skill_attribute_D367_id = (SELECT id FROM SkillAttribute WHERE code = 'D367');
INSERT INTO Skill_SkillAttribute(skill_id, skill_attribute_id) 
SELECT @skill_EM13CO05_id, @skill_attribute_D367_id WHERE SCHEMA() IN ('alura', 'aluraproduction');</v>
      </c>
    </row>
    <row r="487" spans="1:4" ht="15" customHeight="1">
      <c r="A487" s="22" t="s">
        <v>1103</v>
      </c>
      <c r="B487" s="14" t="s">
        <v>1104</v>
      </c>
      <c r="C487" s="16" t="s">
        <v>130</v>
      </c>
      <c r="D487" s="36" t="str">
        <f t="shared" si="7"/>
        <v>INSERT INTO SkillAttribute(code, title) 
SELECT 'D368', 'Identificar características de softwares.' 
WHERE NOT EXISTS (SELECT 1 FROM SkillAttribute WHERE code = 'D368') 
AND SCHEMA() IN ('alura', 'aluraproduction');
SET @skill_attribute_D368_id = (SELECT id FROM SkillAttribute WHERE code = 'D368');
INSERT INTO Skill_SkillAttribute(skill_id, skill_attribute_id) 
SELECT @skill_EM13CO06_id, @skill_attribute_D368_id WHERE SCHEMA() IN ('alura', 'aluraproduction');</v>
      </c>
    </row>
    <row r="488" spans="1:4" ht="15" customHeight="1">
      <c r="A488" s="22" t="s">
        <v>1105</v>
      </c>
      <c r="B488" s="14" t="s">
        <v>1106</v>
      </c>
      <c r="C488" s="16" t="s">
        <v>130</v>
      </c>
      <c r="D488" s="36" t="str">
        <f t="shared" si="7"/>
        <v>INSERT INTO SkillAttribute(code, title) 
SELECT 'D369', 'Compreender características de softwares.' 
WHERE NOT EXISTS (SELECT 1 FROM SkillAttribute WHERE code = 'D369') 
AND SCHEMA() IN ('alura', 'aluraproduction');
SET @skill_attribute_D369_id = (SELECT id FROM SkillAttribute WHERE code = 'D369');
INSERT INTO Skill_SkillAttribute(skill_id, skill_attribute_id) 
SELECT @skill_EM13CO06_id, @skill_attribute_D369_id WHERE SCHEMA() IN ('alura', 'aluraproduction');</v>
      </c>
    </row>
    <row r="489" spans="1:4" ht="15" customHeight="1">
      <c r="A489" s="22" t="s">
        <v>1107</v>
      </c>
      <c r="B489" s="14" t="s">
        <v>1108</v>
      </c>
      <c r="C489" s="16" t="s">
        <v>130</v>
      </c>
      <c r="D489" s="36" t="str">
        <f t="shared" si="7"/>
        <v>INSERT INTO SkillAttribute(code, title) 
SELECT 'D370', 'Relacionar características de softwares a diferentes contextos de uso.' 
WHERE NOT EXISTS (SELECT 1 FROM SkillAttribute WHERE code = 'D370') 
AND SCHEMA() IN ('alura', 'aluraproduction');
SET @skill_attribute_D370_id = (SELECT id FROM SkillAttribute WHERE code = 'D370');
INSERT INTO Skill_SkillAttribute(skill_id, skill_attribute_id) 
SELECT @skill_EM13CO06_id, @skill_attribute_D370_id WHERE SCHEMA() IN ('alura', 'aluraproduction');</v>
      </c>
    </row>
    <row r="490" spans="1:4" ht="15" customHeight="1">
      <c r="A490" s="22" t="s">
        <v>1109</v>
      </c>
      <c r="B490" s="14" t="s">
        <v>1110</v>
      </c>
      <c r="C490" s="16" t="s">
        <v>130</v>
      </c>
      <c r="D490" s="36" t="str">
        <f t="shared" si="7"/>
        <v>INSERT INTO SkillAttribute(code, title) 
SELECT 'D371', 'Compreender métricas utilizadas para avaliar softwares.' 
WHERE NOT EXISTS (SELECT 1 FROM SkillAttribute WHERE code = 'D371') 
AND SCHEMA() IN ('alura', 'aluraproduction');
SET @skill_attribute_D371_id = (SELECT id FROM SkillAttribute WHERE code = 'D371');
INSERT INTO Skill_SkillAttribute(skill_id, skill_attribute_id) 
SELECT @skill_EM13CO06_id, @skill_attribute_D371_id WHERE SCHEMA() IN ('alura', 'aluraproduction');</v>
      </c>
    </row>
    <row r="491" spans="1:4" ht="15" customHeight="1">
      <c r="A491" s="22" t="s">
        <v>1111</v>
      </c>
      <c r="B491" s="14" t="s">
        <v>1112</v>
      </c>
      <c r="C491" s="16" t="s">
        <v>130</v>
      </c>
      <c r="D491" s="36" t="str">
        <f t="shared" si="7"/>
        <v>INSERT INTO SkillAttribute(code, title) 
SELECT 'D372', 'Analisar métricas de softwares em relação ao desempenho.' 
WHERE NOT EXISTS (SELECT 1 FROM SkillAttribute WHERE code = 'D372') 
AND SCHEMA() IN ('alura', 'aluraproduction');
SET @skill_attribute_D372_id = (SELECT id FROM SkillAttribute WHERE code = 'D372');
INSERT INTO Skill_SkillAttribute(skill_id, skill_attribute_id) 
SELECT @skill_EM13CO06_id, @skill_attribute_D372_id WHERE SCHEMA() IN ('alura', 'aluraproduction');</v>
      </c>
    </row>
    <row r="492" spans="1:4" ht="15" customHeight="1">
      <c r="A492" s="22" t="s">
        <v>1113</v>
      </c>
      <c r="B492" s="14" t="s">
        <v>1114</v>
      </c>
      <c r="C492" s="16" t="s">
        <v>130</v>
      </c>
      <c r="D492" s="36" t="str">
        <f t="shared" si="7"/>
        <v>INSERT INTO SkillAttribute(code, title) 
SELECT 'D373', 'Analisar métricas de softwares em relação à qualidade.' 
WHERE NOT EXISTS (SELECT 1 FROM SkillAttribute WHERE code = 'D373') 
AND SCHEMA() IN ('alura', 'aluraproduction');
SET @skill_attribute_D373_id = (SELECT id FROM SkillAttribute WHERE code = 'D373');
INSERT INTO Skill_SkillAttribute(skill_id, skill_attribute_id) 
SELECT @skill_EM13CO06_id, @skill_attribute_D373_id WHERE SCHEMA() IN ('alura', 'aluraproduction');</v>
      </c>
    </row>
    <row r="493" spans="1:4" ht="15" customHeight="1">
      <c r="A493" s="22" t="s">
        <v>1115</v>
      </c>
      <c r="B493" s="14" t="s">
        <v>1116</v>
      </c>
      <c r="C493" s="16" t="s">
        <v>130</v>
      </c>
      <c r="D493" s="36" t="str">
        <f t="shared" si="7"/>
        <v>INSERT INTO SkillAttribute(code, title) 
SELECT 'D374', 'Analisar métricas de softwares em relação à eficiência.' 
WHERE NOT EXISTS (SELECT 1 FROM SkillAttribute WHERE code = 'D374') 
AND SCHEMA() IN ('alura', 'aluraproduction');
SET @skill_attribute_D374_id = (SELECT id FROM SkillAttribute WHERE code = 'D374');
INSERT INTO Skill_SkillAttribute(skill_id, skill_attribute_id) 
SELECT @skill_EM13CO06_id, @skill_attribute_D374_id WHERE SCHEMA() IN ('alura', 'aluraproduction');</v>
      </c>
    </row>
    <row r="494" spans="1:4" ht="15" customHeight="1">
      <c r="A494" s="22" t="s">
        <v>1117</v>
      </c>
      <c r="B494" s="14" t="s">
        <v>1118</v>
      </c>
      <c r="C494" s="16" t="s">
        <v>130</v>
      </c>
      <c r="D494" s="36" t="str">
        <f t="shared" si="7"/>
        <v>INSERT INTO SkillAttribute(code, title) 
SELECT 'D375', 'Analisar softwares com base em suas características.' 
WHERE NOT EXISTS (SELECT 1 FROM SkillAttribute WHERE code = 'D375') 
AND SCHEMA() IN ('alura', 'aluraproduction');
SET @skill_attribute_D375_id = (SELECT id FROM SkillAttribute WHERE code = 'D375');
INSERT INTO Skill_SkillAttribute(skill_id, skill_attribute_id) 
SELECT @skill_EM13CO06_id, @skill_attribute_D375_id WHERE SCHEMA() IN ('alura', 'aluraproduction');</v>
      </c>
    </row>
    <row r="495" spans="1:4" ht="15" customHeight="1">
      <c r="A495" s="22" t="s">
        <v>1119</v>
      </c>
      <c r="B495" s="14" t="s">
        <v>1120</v>
      </c>
      <c r="C495" s="16" t="s">
        <v>130</v>
      </c>
      <c r="D495" s="36" t="str">
        <f t="shared" si="7"/>
        <v>INSERT INTO SkillAttribute(code, title) 
SELECT 'D376', 'Analisar softwares com base em suas métricas' 
WHERE NOT EXISTS (SELECT 1 FROM SkillAttribute WHERE code = 'D376') 
AND SCHEMA() IN ('alura', 'aluraproduction');
SET @skill_attribute_D376_id = (SELECT id FROM SkillAttribute WHERE code = 'D376');
INSERT INTO Skill_SkillAttribute(skill_id, skill_attribute_id) 
SELECT @skill_EM13CO06_id, @skill_attribute_D376_id WHERE SCHEMA() IN ('alura', 'aluraproduction');</v>
      </c>
    </row>
    <row r="496" spans="1:4" ht="15" customHeight="1">
      <c r="A496" s="20" t="s">
        <v>1121</v>
      </c>
      <c r="B496" s="15" t="s">
        <v>1122</v>
      </c>
      <c r="C496" s="16" t="s">
        <v>132</v>
      </c>
      <c r="D496" s="36" t="str">
        <f t="shared" si="7"/>
        <v>INSERT INTO SkillAttribute(code, title) 
SELECT 'D571', 'Identificar tecnologias empregadas em redes de computadores.' 
WHERE NOT EXISTS (SELECT 1 FROM SkillAttribute WHERE code = 'D571') 
AND SCHEMA() IN ('alura', 'aluraproduction');
SET @skill_attribute_D571_id = (SELECT id FROM SkillAttribute WHERE code = 'D571');
INSERT INTO Skill_SkillAttribute(skill_id, skill_attribute_id) 
SELECT @skill_EM13CO07_id, @skill_attribute_D571_id WHERE SCHEMA() IN ('alura', 'aluraproduction');</v>
      </c>
    </row>
    <row r="497" spans="1:4" ht="15" customHeight="1">
      <c r="A497" s="20" t="s">
        <v>1123</v>
      </c>
      <c r="B497" s="15" t="s">
        <v>1124</v>
      </c>
      <c r="C497" s="16" t="s">
        <v>132</v>
      </c>
      <c r="D497" s="36" t="str">
        <f t="shared" si="7"/>
        <v>INSERT INTO SkillAttribute(code, title) 
SELECT 'D572', 'Identificar equipamentos que compõem uma rede de computadores.' 
WHERE NOT EXISTS (SELECT 1 FROM SkillAttribute WHERE code = 'D572') 
AND SCHEMA() IN ('alura', 'aluraproduction');
SET @skill_attribute_D572_id = (SELECT id FROM SkillAttribute WHERE code = 'D572');
INSERT INTO Skill_SkillAttribute(skill_id, skill_attribute_id) 
SELECT @skill_EM13CO07_id, @skill_attribute_D572_id WHERE SCHEMA() IN ('alura', 'aluraproduction');</v>
      </c>
    </row>
    <row r="498" spans="1:4" ht="15" customHeight="1">
      <c r="A498" s="20" t="s">
        <v>1125</v>
      </c>
      <c r="B498" s="15" t="s">
        <v>1126</v>
      </c>
      <c r="C498" s="16" t="s">
        <v>132</v>
      </c>
      <c r="D498" s="36" t="str">
        <f t="shared" si="7"/>
        <v>INSERT INTO SkillAttribute(code, title) 
SELECT 'D573', 'Identificar protocolos de comunicação usados em redes de computadores.' 
WHERE NOT EXISTS (SELECT 1 FROM SkillAttribute WHERE code = 'D573') 
AND SCHEMA() IN ('alura', 'aluraproduction');
SET @skill_attribute_D573_id = (SELECT id FROM SkillAttribute WHERE code = 'D573');
INSERT INTO Skill_SkillAttribute(skill_id, skill_attribute_id) 
SELECT @skill_EM13CO07_id, @skill_attribute_D573_id WHERE SCHEMA() IN ('alura', 'aluraproduction');</v>
      </c>
    </row>
    <row r="499" spans="1:4" ht="15" customHeight="1">
      <c r="A499" s="20" t="s">
        <v>1127</v>
      </c>
      <c r="B499" s="15" t="s">
        <v>1128</v>
      </c>
      <c r="C499" s="16" t="s">
        <v>132</v>
      </c>
      <c r="D499" s="36" t="str">
        <f t="shared" si="7"/>
        <v>INSERT INTO SkillAttribute(code, title) 
SELECT 'D574', 'Identificar serviços de rede comuns (DNS, DHCP, HTTP).' 
WHERE NOT EXISTS (SELECT 1 FROM SkillAttribute WHERE code = 'D574') 
AND SCHEMA() IN ('alura', 'aluraproduction');
SET @skill_attribute_D574_id = (SELECT id FROM SkillAttribute WHERE code = 'D574');
INSERT INTO Skill_SkillAttribute(skill_id, skill_attribute_id) 
SELECT @skill_EM13CO07_id, @skill_attribute_D574_id WHERE SCHEMA() IN ('alura', 'aluraproduction');</v>
      </c>
    </row>
    <row r="500" spans="1:4" ht="15" customHeight="1">
      <c r="A500" s="20" t="s">
        <v>1129</v>
      </c>
      <c r="B500" s="15" t="s">
        <v>1130</v>
      </c>
      <c r="C500" s="16" t="s">
        <v>132</v>
      </c>
      <c r="D500" s="36" t="str">
        <f t="shared" si="7"/>
        <v>INSERT INTO SkillAttribute(code, title) 
SELECT 'D575', 'Compreender como diferentes tecnologias de rede influenciam sua escalabilidade.' 
WHERE NOT EXISTS (SELECT 1 FROM SkillAttribute WHERE code = 'D575') 
AND SCHEMA() IN ('alura', 'aluraproduction');
SET @skill_attribute_D575_id = (SELECT id FROM SkillAttribute WHERE code = 'D575');
INSERT INTO Skill_SkillAttribute(skill_id, skill_attribute_id) 
SELECT @skill_EM13CO07_id, @skill_attribute_D575_id WHERE SCHEMA() IN ('alura', 'aluraproduction');</v>
      </c>
    </row>
    <row r="501" spans="1:4" ht="15" customHeight="1">
      <c r="A501" s="20" t="s">
        <v>1131</v>
      </c>
      <c r="B501" s="15" t="s">
        <v>1132</v>
      </c>
      <c r="C501" s="16" t="s">
        <v>132</v>
      </c>
      <c r="D501" s="36" t="str">
        <f t="shared" si="7"/>
        <v>INSERT INTO SkillAttribute(code, title) 
SELECT 'D576', 'Compreender o papel de protocolos na garantia de confiabilidade das comunicações.' 
WHERE NOT EXISTS (SELECT 1 FROM SkillAttribute WHERE code = 'D576') 
AND SCHEMA() IN ('alura', 'aluraproduction');
SET @skill_attribute_D576_id = (SELECT id FROM SkillAttribute WHERE code = 'D576');
INSERT INTO Skill_SkillAttribute(skill_id, skill_attribute_id) 
SELECT @skill_EM13CO07_id, @skill_attribute_D576_id WHERE SCHEMA() IN ('alura', 'aluraproduction');</v>
      </c>
    </row>
    <row r="502" spans="1:4" ht="15" customHeight="1">
      <c r="A502" s="20" t="s">
        <v>1133</v>
      </c>
      <c r="B502" s="15" t="s">
        <v>1134</v>
      </c>
      <c r="C502" s="16" t="s">
        <v>132</v>
      </c>
      <c r="D502" s="36" t="str">
        <f t="shared" si="7"/>
        <v>INSERT INTO SkillAttribute(code, title) 
SELECT 'D577', 'Compreender como o dimensionamento de equipamentos afeta a capacidade de uma rede.' 
WHERE NOT EXISTS (SELECT 1 FROM SkillAttribute WHERE code = 'D577') 
AND SCHEMA() IN ('alura', 'aluraproduction');
SET @skill_attribute_D577_id = (SELECT id FROM SkillAttribute WHERE code = 'D577');
INSERT INTO Skill_SkillAttribute(skill_id, skill_attribute_id) 
SELECT @skill_EM13CO07_id, @skill_attribute_D577_id WHERE SCHEMA() IN ('alura', 'aluraproduction');</v>
      </c>
    </row>
    <row r="503" spans="1:4" ht="15" customHeight="1">
      <c r="A503" s="20" t="s">
        <v>1135</v>
      </c>
      <c r="B503" s="15" t="s">
        <v>1136</v>
      </c>
      <c r="C503" s="16" t="s">
        <v>132</v>
      </c>
      <c r="D503" s="36" t="str">
        <f t="shared" si="7"/>
        <v>INSERT INTO SkillAttribute(code, title) 
SELECT 'D578', 'Analisar fatores que impactam a escalabilidade de redes de computadores.' 
WHERE NOT EXISTS (SELECT 1 FROM SkillAttribute WHERE code = 'D578') 
AND SCHEMA() IN ('alura', 'aluraproduction');
SET @skill_attribute_D578_id = (SELECT id FROM SkillAttribute WHERE code = 'D578');
INSERT INTO Skill_SkillAttribute(skill_id, skill_attribute_id) 
SELECT @skill_EM13CO07_id, @skill_attribute_D578_id WHERE SCHEMA() IN ('alura', 'aluraproduction');</v>
      </c>
    </row>
    <row r="504" spans="1:4" ht="15" customHeight="1">
      <c r="A504" s="20" t="s">
        <v>1137</v>
      </c>
      <c r="B504" s="15" t="s">
        <v>1138</v>
      </c>
      <c r="C504" s="16" t="s">
        <v>132</v>
      </c>
      <c r="D504" s="36" t="str">
        <f t="shared" si="7"/>
        <v>INSERT INTO SkillAttribute(code, title) 
SELECT 'D579', 'Analisar elementos que afetam a confiabilidade de uma rede de computadores.' 
WHERE NOT EXISTS (SELECT 1 FROM SkillAttribute WHERE code = 'D579') 
AND SCHEMA() IN ('alura', 'aluraproduction');
SET @skill_attribute_D579_id = (SELECT id FROM SkillAttribute WHERE code = 'D579');
INSERT INTO Skill_SkillAttribute(skill_id, skill_attribute_id) 
SELECT @skill_EM13CO07_id, @skill_attribute_D579_id WHERE SCHEMA() IN ('alura', 'aluraproduction');</v>
      </c>
    </row>
    <row r="505" spans="1:4" ht="15" customHeight="1">
      <c r="A505" s="20" t="s">
        <v>1139</v>
      </c>
      <c r="B505" s="15" t="s">
        <v>1140</v>
      </c>
      <c r="C505" s="16" t="s">
        <v>134</v>
      </c>
      <c r="D505" s="36" t="str">
        <f t="shared" si="7"/>
        <v>INSERT INTO SkillAttribute(code, title) 
SELECT 'D580', 'Identificar fatores tecnológicos que afetam a segurança.' 
WHERE NOT EXISTS (SELECT 1 FROM SkillAttribute WHERE code = 'D580') 
AND SCHEMA() IN ('alura', 'aluraproduction');
SET @skill_attribute_D580_id = (SELECT id FROM SkillAttribute WHERE code = 'D580');
INSERT INTO Skill_SkillAttribute(skill_id, skill_attribute_id) 
SELECT @skill_EM13CO08_id, @skill_attribute_D580_id WHERE SCHEMA() IN ('alura', 'aluraproduction');</v>
      </c>
    </row>
    <row r="506" spans="1:4" ht="15" customHeight="1">
      <c r="A506" s="20" t="s">
        <v>1141</v>
      </c>
      <c r="B506" s="15" t="s">
        <v>1142</v>
      </c>
      <c r="C506" s="16" t="s">
        <v>134</v>
      </c>
      <c r="D506" s="36" t="str">
        <f t="shared" si="7"/>
        <v>INSERT INTO SkillAttribute(code, title) 
SELECT 'D581', 'Compreender o efeito de evoluções tecnológicas na proteção de dados.' 
WHERE NOT EXISTS (SELECT 1 FROM SkillAttribute WHERE code = 'D581') 
AND SCHEMA() IN ('alura', 'aluraproduction');
SET @skill_attribute_D581_id = (SELECT id FROM SkillAttribute WHERE code = 'D581');
INSERT INTO Skill_SkillAttribute(skill_id, skill_attribute_id) 
SELECT @skill_EM13CO08_id, @skill_attribute_D581_id WHERE SCHEMA() IN ('alura', 'aluraproduction');</v>
      </c>
    </row>
    <row r="507" spans="1:4" ht="15" customHeight="1">
      <c r="A507" s="20" t="s">
        <v>1143</v>
      </c>
      <c r="B507" s="15" t="s">
        <v>1144</v>
      </c>
      <c r="C507" s="16" t="s">
        <v>134</v>
      </c>
      <c r="D507" s="36" t="str">
        <f t="shared" si="7"/>
        <v>INSERT INTO SkillAttribute(code, title) 
SELECT 'D582', 'Identificar práticas de proteção da privacidade digital.' 
WHERE NOT EXISTS (SELECT 1 FROM SkillAttribute WHERE code = 'D582') 
AND SCHEMA() IN ('alura', 'aluraproduction');
SET @skill_attribute_D582_id = (SELECT id FROM SkillAttribute WHERE code = 'D582');
INSERT INTO Skill_SkillAttribute(skill_id, skill_attribute_id) 
SELECT @skill_EM13CO08_id, @skill_attribute_D582_id WHERE SCHEMA() IN ('alura', 'aluraproduction');</v>
      </c>
    </row>
    <row r="508" spans="1:4" ht="15" customHeight="1">
      <c r="A508" s="20" t="s">
        <v>1145</v>
      </c>
      <c r="B508" s="15" t="s">
        <v>1146</v>
      </c>
      <c r="C508" s="16" t="s">
        <v>134</v>
      </c>
      <c r="D508" s="36" t="str">
        <f t="shared" si="7"/>
        <v>INSERT INTO SkillAttribute(code, title) 
SELECT 'D583', 'Compreender boas práticas de segurança da informação.' 
WHERE NOT EXISTS (SELECT 1 FROM SkillAttribute WHERE code = 'D583') 
AND SCHEMA() IN ('alura', 'aluraproduction');
SET @skill_attribute_D583_id = (SELECT id FROM SkillAttribute WHERE code = 'D583');
INSERT INTO Skill_SkillAttribute(skill_id, skill_attribute_id) 
SELECT @skill_EM13CO08_id, @skill_attribute_D583_id WHERE SCHEMA() IN ('alura', 'aluraproduction');</v>
      </c>
    </row>
    <row r="509" spans="1:4" ht="15" customHeight="1">
      <c r="A509" s="20" t="s">
        <v>1147</v>
      </c>
      <c r="B509" s="15" t="s">
        <v>1148</v>
      </c>
      <c r="C509" s="16" t="s">
        <v>134</v>
      </c>
      <c r="D509" s="36" t="str">
        <f t="shared" si="7"/>
        <v>INSERT INTO SkillAttribute(code, title) 
SELECT 'D584', 'Identificar meios de comunicação para reporte de incidentes de segurança.' 
WHERE NOT EXISTS (SELECT 1 FROM SkillAttribute WHERE code = 'D584') 
AND SCHEMA() IN ('alura', 'aluraproduction');
SET @skill_attribute_D584_id = (SELECT id FROM SkillAttribute WHERE code = 'D584');
INSERT INTO Skill_SkillAttribute(skill_id, skill_attribute_id) 
SELECT @skill_EM13CO08_id, @skill_attribute_D584_id WHERE SCHEMA() IN ('alura', 'aluraproduction');</v>
      </c>
    </row>
    <row r="510" spans="1:4" ht="15" customHeight="1">
      <c r="A510" s="20" t="s">
        <v>1149</v>
      </c>
      <c r="B510" s="15" t="s">
        <v>1150</v>
      </c>
      <c r="C510" s="16" t="s">
        <v>134</v>
      </c>
      <c r="D510" s="36" t="str">
        <f t="shared" si="7"/>
        <v>INSERT INTO SkillAttribute(code, title) 
SELECT 'D585', 'Compreender a relevância do reporte de incidentes de segurança.' 
WHERE NOT EXISTS (SELECT 1 FROM SkillAttribute WHERE code = 'D585') 
AND SCHEMA() IN ('alura', 'aluraproduction');
SET @skill_attribute_D585_id = (SELECT id FROM SkillAttribute WHERE code = 'D585');
INSERT INTO Skill_SkillAttribute(skill_id, skill_attribute_id) 
SELECT @skill_EM13CO08_id, @skill_attribute_D585_id WHERE SCHEMA() IN ('alura', 'aluraproduction');</v>
      </c>
    </row>
    <row r="511" spans="1:4" ht="15" customHeight="1">
      <c r="A511" s="20" t="s">
        <v>1151</v>
      </c>
      <c r="B511" s="15" t="s">
        <v>1152</v>
      </c>
      <c r="C511" s="16" t="s">
        <v>134</v>
      </c>
      <c r="D511" s="36" t="str">
        <f t="shared" si="7"/>
        <v>INSERT INTO SkillAttribute(code, title) 
SELECT 'D586', 'Analisar sinais que indicam necessidade de suporte em segurança digital.' 
WHERE NOT EXISTS (SELECT 1 FROM SkillAttribute WHERE code = 'D586') 
AND SCHEMA() IN ('alura', 'aluraproduction');
SET @skill_attribute_D586_id = (SELECT id FROM SkillAttribute WHERE code = 'D586');
INSERT INTO Skill_SkillAttribute(skill_id, skill_attribute_id) 
SELECT @skill_EM13CO08_id, @skill_attribute_D586_id WHERE SCHEMA() IN ('alura', 'aluraproduction');</v>
      </c>
    </row>
    <row r="512" spans="1:4" ht="15" customHeight="1">
      <c r="A512" s="20" t="s">
        <v>1153</v>
      </c>
      <c r="B512" s="15" t="s">
        <v>1154</v>
      </c>
      <c r="C512" s="16" t="s">
        <v>134</v>
      </c>
      <c r="D512" s="36" t="str">
        <f t="shared" si="7"/>
        <v>INSERT INTO SkillAttribute(code, title) 
SELECT 'D587', 'Analisar práticas digitais que requerem atualização após inovações tecnológicas.' 
WHERE NOT EXISTS (SELECT 1 FROM SkillAttribute WHERE code = 'D587') 
AND SCHEMA() IN ('alura', 'aluraproduction');
SET @skill_attribute_D587_id = (SELECT id FROM SkillAttribute WHERE code = 'D587');
INSERT INTO Skill_SkillAttribute(skill_id, skill_attribute_id) 
SELECT @skill_EM13CO08_id, @skill_attribute_D587_id WHERE SCHEMA() IN ('alura', 'aluraproduction');</v>
      </c>
    </row>
    <row r="513" spans="1:4" ht="15" customHeight="1">
      <c r="A513" s="20" t="s">
        <v>1155</v>
      </c>
      <c r="B513" s="15" t="s">
        <v>1156</v>
      </c>
      <c r="C513" s="16" t="s">
        <v>134</v>
      </c>
      <c r="D513" s="36" t="str">
        <f t="shared" si="7"/>
        <v>INSERT INTO SkillAttribute(code, title) 
SELECT 'D588', 'Distinguir abordagens de segurança voltadas à proteção de dados.' 
WHERE NOT EXISTS (SELECT 1 FROM SkillAttribute WHERE code = 'D588') 
AND SCHEMA() IN ('alura', 'aluraproduction');
SET @skill_attribute_D588_id = (SELECT id FROM SkillAttribute WHERE code = 'D588');
INSERT INTO Skill_SkillAttribute(skill_id, skill_attribute_id) 
SELECT @skill_EM13CO08_id, @skill_attribute_D588_id WHERE SCHEMA() IN ('alura', 'aluraproduction');</v>
      </c>
    </row>
    <row r="514" spans="1:4" ht="15" customHeight="1">
      <c r="A514" s="20" t="s">
        <v>1157</v>
      </c>
      <c r="B514" s="15" t="s">
        <v>1158</v>
      </c>
      <c r="C514" s="16" t="s">
        <v>134</v>
      </c>
      <c r="D514" s="36" t="str">
        <f t="shared" si="7"/>
        <v>INSERT INTO SkillAttribute(code, title) 
SELECT 'D589', 'Identificar indícios de desatualização em medidas de segurança.' 
WHERE NOT EXISTS (SELECT 1 FROM SkillAttribute WHERE code = 'D589') 
AND SCHEMA() IN ('alura', 'aluraproduction');
SET @skill_attribute_D589_id = (SELECT id FROM SkillAttribute WHERE code = 'D589');
INSERT INTO Skill_SkillAttribute(skill_id, skill_attribute_id) 
SELECT @skill_EM13CO08_id, @skill_attribute_D589_id WHERE SCHEMA() IN ('alura', 'aluraproduction');</v>
      </c>
    </row>
    <row r="515" spans="1:4" ht="15" customHeight="1">
      <c r="A515" s="19" t="s">
        <v>1159</v>
      </c>
      <c r="B515" s="14" t="s">
        <v>1160</v>
      </c>
      <c r="C515" s="16" t="s">
        <v>136</v>
      </c>
      <c r="D515" s="36" t="str">
        <f t="shared" ref="D515:D578" si="8">"INSERT INTO SkillAttribute(code, title) " &amp; CHAR(10) &amp;
"SELECT '" &amp; A515 &amp; "', '" &amp; SUBSTITUTE(B515, "'", "''") &amp; "' " &amp; CHAR(10) &amp;
"WHERE NOT EXISTS (SELECT 1 FROM SkillAttribute WHERE code = '" &amp; A515 &amp; "') " &amp; CHAR(10) &amp;
"AND SCHEMA() IN ('alura', 'aluraproduction');" &amp;
CHAR(10) &amp; CHAR(10) &amp;
"SET @skill_attribute_" &amp; A515 &amp; "_id = (SELECT id FROM SkillAttribute WHERE code = '" &amp; A515 &amp; "');" &amp;
CHAR(10) &amp; CHAR(10) &amp;
"INSERT INTO Skill_SkillAttribute(skill_id, skill_attribute_id) " &amp; CHAR(10) &amp;
"SELECT @skill_" &amp; C515 &amp; "_id, @skill_attribute_" &amp; A515 &amp; "_id WHERE SCHEMA() IN ('alura', 'aluraproduction');"</f>
        <v>INSERT INTO SkillAttribute(code, title) 
SELECT 'D377', 'Identificar tecnologias digitais utilizadas em diferentes atividades do mundo do trabalho.' 
WHERE NOT EXISTS (SELECT 1 FROM SkillAttribute WHERE code = 'D377') 
AND SCHEMA() IN ('alura', 'aluraproduction');
SET @skill_attribute_D377_id = (SELECT id FROM SkillAttribute WHERE code = 'D377');
INSERT INTO Skill_SkillAttribute(skill_id, skill_attribute_id) 
SELECT @skill_EM13CO09_id, @skill_attribute_D377_id WHERE SCHEMA() IN ('alura', 'aluraproduction');</v>
      </c>
    </row>
    <row r="516" spans="1:4" ht="15" customHeight="1">
      <c r="A516" s="19" t="s">
        <v>1161</v>
      </c>
      <c r="B516" s="14" t="s">
        <v>1162</v>
      </c>
      <c r="C516" s="16" t="s">
        <v>136</v>
      </c>
      <c r="D516" s="36" t="str">
        <f t="shared" si="8"/>
        <v>INSERT INTO SkillAttribute(code, title) 
SELECT 'D378', 'Identificar formas de uso das tecnologias digitais em diferentes atividades do mundo do trabalho.' 
WHERE NOT EXISTS (SELECT 1 FROM SkillAttribute WHERE code = 'D378') 
AND SCHEMA() IN ('alura', 'aluraproduction');
SET @skill_attribute_D378_id = (SELECT id FROM SkillAttribute WHERE code = 'D378');
INSERT INTO Skill_SkillAttribute(skill_id, skill_attribute_id) 
SELECT @skill_EM13CO09_id, @skill_attribute_D378_id WHERE SCHEMA() IN ('alura', 'aluraproduction');</v>
      </c>
    </row>
    <row r="517" spans="1:4" ht="15" customHeight="1">
      <c r="A517" s="19" t="s">
        <v>1163</v>
      </c>
      <c r="B517" s="14" t="s">
        <v>1164</v>
      </c>
      <c r="C517" s="16" t="s">
        <v>136</v>
      </c>
      <c r="D517" s="36" t="str">
        <f t="shared" si="8"/>
        <v>INSERT INTO SkillAttribute(code, title) 
SELECT 'D379', 'Compreender os impactos das tecnologias digitais nas formas de trabalho e nas exigências profissionais.' 
WHERE NOT EXISTS (SELECT 1 FROM SkillAttribute WHERE code = 'D379') 
AND SCHEMA() IN ('alura', 'aluraproduction');
SET @skill_attribute_D379_id = (SELECT id FROM SkillAttribute WHERE code = 'D379');
INSERT INTO Skill_SkillAttribute(skill_id, skill_attribute_id) 
SELECT @skill_EM13CO09_id, @skill_attribute_D379_id WHERE SCHEMA() IN ('alura', 'aluraproduction');</v>
      </c>
    </row>
    <row r="518" spans="1:4" ht="15" customHeight="1">
      <c r="A518" s="19" t="s">
        <v>1165</v>
      </c>
      <c r="B518" s="14" t="s">
        <v>1166</v>
      </c>
      <c r="C518" s="16" t="s">
        <v>136</v>
      </c>
      <c r="D518" s="36" t="str">
        <f t="shared" si="8"/>
        <v>INSERT INTO SkillAttribute(code, title) 
SELECT 'D380', 'Analisar usos de tecnologias digitais no mundo do trabalho.' 
WHERE NOT EXISTS (SELECT 1 FROM SkillAttribute WHERE code = 'D380') 
AND SCHEMA() IN ('alura', 'aluraproduction');
SET @skill_attribute_D380_id = (SELECT id FROM SkillAttribute WHERE code = 'D380');
INSERT INTO Skill_SkillAttribute(skill_id, skill_attribute_id) 
SELECT @skill_EM13CO09_id, @skill_attribute_D380_id WHERE SCHEMA() IN ('alura', 'aluraproduction');</v>
      </c>
    </row>
    <row r="519" spans="1:4" ht="15" customHeight="1">
      <c r="A519" s="19" t="s">
        <v>1167</v>
      </c>
      <c r="B519" s="14" t="s">
        <v>1168</v>
      </c>
      <c r="C519" s="16" t="s">
        <v>136</v>
      </c>
      <c r="D519" s="36" t="str">
        <f t="shared" si="8"/>
        <v>INSERT INTO SkillAttribute(code, title) 
SELECT 'D381', 'Relacionar tecnologias digitais a funções ou tarefas específicas em contextos profissionais.' 
WHERE NOT EXISTS (SELECT 1 FROM SkillAttribute WHERE code = 'D381') 
AND SCHEMA() IN ('alura', 'aluraproduction');
SET @skill_attribute_D381_id = (SELECT id FROM SkillAttribute WHERE code = 'D381');
INSERT INTO Skill_SkillAttribute(skill_id, skill_attribute_id) 
SELECT @skill_EM13CO09_id, @skill_attribute_D381_id WHERE SCHEMA() IN ('alura', 'aluraproduction');</v>
      </c>
    </row>
    <row r="520" spans="1:4" ht="15" customHeight="1">
      <c r="A520" s="19" t="s">
        <v>1169</v>
      </c>
      <c r="B520" s="14" t="s">
        <v>1170</v>
      </c>
      <c r="C520" s="16" t="s">
        <v>136</v>
      </c>
      <c r="D520" s="36" t="str">
        <f t="shared" si="8"/>
        <v>INSERT INTO SkillAttribute(code, title) 
SELECT 'D382', 'Compreender como o uso de tecnologias digitais transforma práticas profissionais.' 
WHERE NOT EXISTS (SELECT 1 FROM SkillAttribute WHERE code = 'D382') 
AND SCHEMA() IN ('alura', 'aluraproduction');
SET @skill_attribute_D382_id = (SELECT id FROM SkillAttribute WHERE code = 'D382');
INSERT INTO Skill_SkillAttribute(skill_id, skill_attribute_id) 
SELECT @skill_EM13CO09_id, @skill_attribute_D382_id WHERE SCHEMA() IN ('alura', 'aluraproduction');</v>
      </c>
    </row>
    <row r="521" spans="1:4" ht="15" customHeight="1">
      <c r="A521" s="20" t="s">
        <v>1171</v>
      </c>
      <c r="B521" s="15" t="s">
        <v>1172</v>
      </c>
      <c r="C521" s="16" t="s">
        <v>138</v>
      </c>
      <c r="D521" s="36" t="str">
        <f t="shared" si="8"/>
        <v>INSERT INTO SkillAttribute(code, title) 
SELECT 'D590', 'Identificar fundamentos da Inteligência Artificial.' 
WHERE NOT EXISTS (SELECT 1 FROM SkillAttribute WHERE code = 'D590') 
AND SCHEMA() IN ('alura', 'aluraproduction');
SET @skill_attribute_D590_id = (SELECT id FROM SkillAttribute WHERE code = 'D590');
INSERT INTO Skill_SkillAttribute(skill_id, skill_attribute_id) 
SELECT @skill_EM13CO10_id, @skill_attribute_D590_id WHERE SCHEMA() IN ('alura', 'aluraproduction');</v>
      </c>
    </row>
    <row r="522" spans="1:4" ht="15" customHeight="1">
      <c r="A522" s="20" t="s">
        <v>1173</v>
      </c>
      <c r="B522" s="15" t="s">
        <v>1174</v>
      </c>
      <c r="C522" s="16" t="s">
        <v>138</v>
      </c>
      <c r="D522" s="36" t="str">
        <f t="shared" si="8"/>
        <v>INSERT INTO SkillAttribute(code, title) 
SELECT 'D591', 'Distinguir inteligência artificial de inteligência humana.' 
WHERE NOT EXISTS (SELECT 1 FROM SkillAttribute WHERE code = 'D591') 
AND SCHEMA() IN ('alura', 'aluraproduction');
SET @skill_attribute_D591_id = (SELECT id FROM SkillAttribute WHERE code = 'D591');
INSERT INTO Skill_SkillAttribute(skill_id, skill_attribute_id) 
SELECT @skill_EM13CO10_id, @skill_attribute_D591_id WHERE SCHEMA() IN ('alura', 'aluraproduction');</v>
      </c>
    </row>
    <row r="523" spans="1:4" ht="15" customHeight="1">
      <c r="A523" s="20" t="s">
        <v>1175</v>
      </c>
      <c r="B523" s="15" t="s">
        <v>1176</v>
      </c>
      <c r="C523" s="16" t="s">
        <v>138</v>
      </c>
      <c r="D523" s="36" t="str">
        <f t="shared" si="8"/>
        <v>INSERT INTO SkillAttribute(code, title) 
SELECT 'D592', 'Compreender as potencialidades da Inteligência Artificial.' 
WHERE NOT EXISTS (SELECT 1 FROM SkillAttribute WHERE code = 'D592') 
AND SCHEMA() IN ('alura', 'aluraproduction');
SET @skill_attribute_D592_id = (SELECT id FROM SkillAttribute WHERE code = 'D592');
INSERT INTO Skill_SkillAttribute(skill_id, skill_attribute_id) 
SELECT @skill_EM13CO10_id, @skill_attribute_D592_id WHERE SCHEMA() IN ('alura', 'aluraproduction');</v>
      </c>
    </row>
    <row r="524" spans="1:4" ht="15" customHeight="1">
      <c r="A524" s="20" t="s">
        <v>1177</v>
      </c>
      <c r="B524" s="15" t="s">
        <v>1178</v>
      </c>
      <c r="C524" s="16" t="s">
        <v>138</v>
      </c>
      <c r="D524" s="36" t="str">
        <f t="shared" si="8"/>
        <v>INSERT INTO SkillAttribute(code, title) 
SELECT 'D593', 'Compreender riscos associados ao uso da Inteligência Artificial.' 
WHERE NOT EXISTS (SELECT 1 FROM SkillAttribute WHERE code = 'D593') 
AND SCHEMA() IN ('alura', 'aluraproduction');
SET @skill_attribute_D593_id = (SELECT id FROM SkillAttribute WHERE code = 'D593');
INSERT INTO Skill_SkillAttribute(skill_id, skill_attribute_id) 
SELECT @skill_EM13CO10_id, @skill_attribute_D593_id WHERE SCHEMA() IN ('alura', 'aluraproduction');</v>
      </c>
    </row>
    <row r="525" spans="1:4" ht="15" customHeight="1">
      <c r="A525" s="20" t="s">
        <v>1179</v>
      </c>
      <c r="B525" s="15" t="s">
        <v>1180</v>
      </c>
      <c r="C525" s="16" t="s">
        <v>138</v>
      </c>
      <c r="D525" s="36" t="str">
        <f t="shared" si="8"/>
        <v>INSERT INTO SkillAttribute(code, title) 
SELECT 'D594', 'Compreender limites da Inteligência Artificial.' 
WHERE NOT EXISTS (SELECT 1 FROM SkillAttribute WHERE code = 'D594') 
AND SCHEMA() IN ('alura', 'aluraproduction');
SET @skill_attribute_D594_id = (SELECT id FROM SkillAttribute WHERE code = 'D594');
INSERT INTO Skill_SkillAttribute(skill_id, skill_attribute_id) 
SELECT @skill_EM13CO10_id, @skill_attribute_D594_id WHERE SCHEMA() IN ('alura', 'aluraproduction');</v>
      </c>
    </row>
    <row r="526" spans="1:4" ht="15" customHeight="1">
      <c r="A526" s="20" t="s">
        <v>1181</v>
      </c>
      <c r="B526" s="15" t="s">
        <v>1182</v>
      </c>
      <c r="C526" s="16" t="s">
        <v>138</v>
      </c>
      <c r="D526" s="36" t="str">
        <f t="shared" si="8"/>
        <v>INSERT INTO SkillAttribute(code, title) 
SELECT 'D595', 'Analisar implicações éticas da Inteligência Artificial.' 
WHERE NOT EXISTS (SELECT 1 FROM SkillAttribute WHERE code = 'D595') 
AND SCHEMA() IN ('alura', 'aluraproduction');
SET @skill_attribute_D595_id = (SELECT id FROM SkillAttribute WHERE code = 'D595');
INSERT INTO Skill_SkillAttribute(skill_id, skill_attribute_id) 
SELECT @skill_EM13CO10_id, @skill_attribute_D595_id WHERE SCHEMA() IN ('alura', 'aluraproduction');</v>
      </c>
    </row>
    <row r="527" spans="1:4" ht="15" customHeight="1">
      <c r="A527" s="20" t="s">
        <v>1183</v>
      </c>
      <c r="B527" s="15" t="s">
        <v>1184</v>
      </c>
      <c r="C527" s="16" t="s">
        <v>138</v>
      </c>
      <c r="D527" s="36" t="str">
        <f t="shared" si="8"/>
        <v>INSERT INTO SkillAttribute(code, title) 
SELECT 'D596', 'Analisar impactos sociais causados pela adoção de sistemas de Inteligência Artificial.' 
WHERE NOT EXISTS (SELECT 1 FROM SkillAttribute WHERE code = 'D596') 
AND SCHEMA() IN ('alura', 'aluraproduction');
SET @skill_attribute_D596_id = (SELECT id FROM SkillAttribute WHERE code = 'D596');
INSERT INTO Skill_SkillAttribute(skill_id, skill_attribute_id) 
SELECT @skill_EM13CO10_id, @skill_attribute_D596_id WHERE SCHEMA() IN ('alura', 'aluraproduction');</v>
      </c>
    </row>
    <row r="528" spans="1:4" ht="15" customHeight="1">
      <c r="A528" s="19" t="s">
        <v>1185</v>
      </c>
      <c r="B528" s="14" t="s">
        <v>1186</v>
      </c>
      <c r="C528" s="16" t="s">
        <v>140</v>
      </c>
      <c r="D528" s="36" t="str">
        <f t="shared" si="8"/>
        <v>INSERT INTO SkillAttribute(code, title) 
SELECT 'D383', 'Identificar diferentes tipos de modelos computacionais simples.' 
WHERE NOT EXISTS (SELECT 1 FROM SkillAttribute WHERE code = 'D383') 
AND SCHEMA() IN ('alura', 'aluraproduction');
SET @skill_attribute_D383_id = (SELECT id FROM SkillAttribute WHERE code = 'D383');
INSERT INTO Skill_SkillAttribute(skill_id, skill_attribute_id) 
SELECT @skill_EM13CO11_id, @skill_attribute_D383_id WHERE SCHEMA() IN ('alura', 'aluraproduction');</v>
      </c>
    </row>
    <row r="529" spans="1:4" ht="15" customHeight="1">
      <c r="A529" s="19" t="s">
        <v>1187</v>
      </c>
      <c r="B529" s="14" t="s">
        <v>1188</v>
      </c>
      <c r="C529" s="16" t="s">
        <v>140</v>
      </c>
      <c r="D529" s="36" t="str">
        <f t="shared" si="8"/>
        <v>INSERT INTO SkillAttribute(code, title) 
SELECT 'D384', 'Reconhecer características de diferentes modelos computacionais simples.' 
WHERE NOT EXISTS (SELECT 1 FROM SkillAttribute WHERE code = 'D384') 
AND SCHEMA() IN ('alura', 'aluraproduction');
SET @skill_attribute_D384_id = (SELECT id FROM SkillAttribute WHERE code = 'D384');
INSERT INTO Skill_SkillAttribute(skill_id, skill_attribute_id) 
SELECT @skill_EM13CO11_id, @skill_attribute_D384_id WHERE SCHEMA() IN ('alura', 'aluraproduction');</v>
      </c>
    </row>
    <row r="530" spans="1:4" ht="15" customHeight="1">
      <c r="A530" s="19" t="s">
        <v>1189</v>
      </c>
      <c r="B530" s="14" t="s">
        <v>1190</v>
      </c>
      <c r="C530" s="16" t="s">
        <v>140</v>
      </c>
      <c r="D530" s="36" t="str">
        <f t="shared" si="8"/>
        <v>INSERT INTO SkillAttribute(code, title) 
SELECT 'D385', 'Analisar modelos computacionais simples.' 
WHERE NOT EXISTS (SELECT 1 FROM SkillAttribute WHERE code = 'D385') 
AND SCHEMA() IN ('alura', 'aluraproduction');
SET @skill_attribute_D385_id = (SELECT id FROM SkillAttribute WHERE code = 'D385');
INSERT INTO Skill_SkillAttribute(skill_id, skill_attribute_id) 
SELECT @skill_EM13CO11_id, @skill_attribute_D385_id WHERE SCHEMA() IN ('alura', 'aluraproduction');</v>
      </c>
    </row>
    <row r="531" spans="1:4" ht="15" customHeight="1">
      <c r="A531" s="19" t="s">
        <v>1191</v>
      </c>
      <c r="B531" s="14" t="s">
        <v>1192</v>
      </c>
      <c r="C531" s="16" t="s">
        <v>140</v>
      </c>
      <c r="D531" s="36" t="str">
        <f t="shared" si="8"/>
        <v>INSERT INTO SkillAttribute(code, title) 
SELECT 'D386', 'Compreender a importância de modelos computacionais simples para o desenvolvimento científico.' 
WHERE NOT EXISTS (SELECT 1 FROM SkillAttribute WHERE code = 'D386') 
AND SCHEMA() IN ('alura', 'aluraproduction');
SET @skill_attribute_D386_id = (SELECT id FROM SkillAttribute WHERE code = 'D386');
INSERT INTO Skill_SkillAttribute(skill_id, skill_attribute_id) 
SELECT @skill_EM13CO11_id, @skill_attribute_D386_id WHERE SCHEMA() IN ('alura', 'aluraproduction');</v>
      </c>
    </row>
    <row r="532" spans="1:4" ht="15" customHeight="1">
      <c r="A532" s="19" t="s">
        <v>1193</v>
      </c>
      <c r="B532" s="14" t="s">
        <v>1194</v>
      </c>
      <c r="C532" s="16" t="s">
        <v>140</v>
      </c>
      <c r="D532" s="36" t="str">
        <f t="shared" si="8"/>
        <v>INSERT INTO SkillAttribute(code, title) 
SELECT 'D387', 'Relacionar modelos computacionais simples a fenômenos que eles simulam ou ajudam a prever.' 
WHERE NOT EXISTS (SELECT 1 FROM SkillAttribute WHERE code = 'D387') 
AND SCHEMA() IN ('alura', 'aluraproduction');
SET @skill_attribute_D387_id = (SELECT id FROM SkillAttribute WHERE code = 'D387');
INSERT INTO Skill_SkillAttribute(skill_id, skill_attribute_id) 
SELECT @skill_EM13CO11_id, @skill_attribute_D387_id WHERE SCHEMA() IN ('alura', 'aluraproduction');</v>
      </c>
    </row>
    <row r="533" spans="1:4" ht="15" customHeight="1">
      <c r="A533" s="22" t="s">
        <v>1195</v>
      </c>
      <c r="B533" s="14" t="s">
        <v>1196</v>
      </c>
      <c r="C533" s="16" t="s">
        <v>142</v>
      </c>
      <c r="D533" s="36" t="str">
        <f t="shared" si="8"/>
        <v>INSERT INTO SkillAttribute(code, title) 
SELECT 'D388', 'Identificar princípios de ciência de dados.' 
WHERE NOT EXISTS (SELECT 1 FROM SkillAttribute WHERE code = 'D388') 
AND SCHEMA() IN ('alura', 'aluraproduction');
SET @skill_attribute_D388_id = (SELECT id FROM SkillAttribute WHERE code = 'D388');
INSERT INTO Skill_SkillAttribute(skill_id, skill_attribute_id) 
SELECT @skill_EM13CO12_id, @skill_attribute_D388_id WHERE SCHEMA() IN ('alura', 'aluraproduction');</v>
      </c>
    </row>
    <row r="534" spans="1:4" ht="15" customHeight="1">
      <c r="A534" s="22" t="s">
        <v>1197</v>
      </c>
      <c r="B534" s="14" t="s">
        <v>1198</v>
      </c>
      <c r="C534" s="16" t="s">
        <v>142</v>
      </c>
      <c r="D534" s="36" t="str">
        <f t="shared" si="8"/>
        <v>INSERT INTO SkillAttribute(code, title) 
SELECT 'D389', 'Compreender princípios de ciência de dados.' 
WHERE NOT EXISTS (SELECT 1 FROM SkillAttribute WHERE code = 'D389') 
AND SCHEMA() IN ('alura', 'aluraproduction');
SET @skill_attribute_D389_id = (SELECT id FROM SkillAttribute WHERE code = 'D389');
INSERT INTO Skill_SkillAttribute(skill_id, skill_attribute_id) 
SELECT @skill_EM13CO12_id, @skill_attribute_D389_id WHERE SCHEMA() IN ('alura', 'aluraproduction');</v>
      </c>
    </row>
    <row r="535" spans="1:4" ht="15" customHeight="1">
      <c r="A535" s="22" t="s">
        <v>1199</v>
      </c>
      <c r="B535" s="14" t="s">
        <v>1200</v>
      </c>
      <c r="C535" s="16" t="s">
        <v>142</v>
      </c>
      <c r="D535" s="36" t="str">
        <f t="shared" si="8"/>
        <v>INSERT INTO SkillAttribute(code, title) 
SELECT 'D390', 'Relacionar etapas da produção de informações aos princípios da ciência de dados.' 
WHERE NOT EXISTS (SELECT 1 FROM SkillAttribute WHERE code = 'D390') 
AND SCHEMA() IN ('alura', 'aluraproduction');
SET @skill_attribute_D390_id = (SELECT id FROM SkillAttribute WHERE code = 'D390');
INSERT INTO Skill_SkillAttribute(skill_id, skill_attribute_id) 
SELECT @skill_EM13CO12_id, @skill_attribute_D390_id WHERE SCHEMA() IN ('alura', 'aluraproduction');</v>
      </c>
    </row>
    <row r="536" spans="1:4" ht="15" customHeight="1">
      <c r="A536" s="22" t="s">
        <v>1201</v>
      </c>
      <c r="B536" s="14" t="s">
        <v>1202</v>
      </c>
      <c r="C536" s="16" t="s">
        <v>142</v>
      </c>
      <c r="D536" s="36" t="str">
        <f t="shared" si="8"/>
        <v>INSERT INTO SkillAttribute(code, title) 
SELECT 'D391', 'Compreender o processo de gestão de informações com base na ciência de dados.' 
WHERE NOT EXISTS (SELECT 1 FROM SkillAttribute WHERE code = 'D391') 
AND SCHEMA() IN ('alura', 'aluraproduction');
SET @skill_attribute_D391_id = (SELECT id FROM SkillAttribute WHERE code = 'D391');
INSERT INTO Skill_SkillAttribute(skill_id, skill_attribute_id) 
SELECT @skill_EM13CO12_id, @skill_attribute_D391_id WHERE SCHEMA() IN ('alura', 'aluraproduction');</v>
      </c>
    </row>
    <row r="537" spans="1:4" ht="15" customHeight="1">
      <c r="A537" s="22" t="s">
        <v>1203</v>
      </c>
      <c r="B537" s="14" t="s">
        <v>1204</v>
      </c>
      <c r="C537" s="16" t="s">
        <v>142</v>
      </c>
      <c r="D537" s="36" t="str">
        <f t="shared" si="8"/>
        <v>INSERT INTO SkillAttribute(code, title) 
SELECT 'D392', 'Compreender o compartilhamento de informações com base na ciência de dados.' 
WHERE NOT EXISTS (SELECT 1 FROM SkillAttribute WHERE code = 'D392') 
AND SCHEMA() IN ('alura', 'aluraproduction');
SET @skill_attribute_D392_id = (SELECT id FROM SkillAttribute WHERE code = 'D392');
INSERT INTO Skill_SkillAttribute(skill_id, skill_attribute_id) 
SELECT @skill_EM13CO12_id, @skill_attribute_D392_id WHERE SCHEMA() IN ('alura', 'aluraproduction');</v>
      </c>
    </row>
    <row r="538" spans="1:4" ht="15" customHeight="1">
      <c r="A538" s="22" t="s">
        <v>1205</v>
      </c>
      <c r="B538" s="14" t="s">
        <v>1206</v>
      </c>
      <c r="C538" s="16" t="s">
        <v>142</v>
      </c>
      <c r="D538" s="36" t="str">
        <f t="shared" si="8"/>
        <v>INSERT INTO SkillAttribute(code, title) 
SELECT 'D393', 'Analisar informações com base na ciência de dados.' 
WHERE NOT EXISTS (SELECT 1 FROM SkillAttribute WHERE code = 'D393') 
AND SCHEMA() IN ('alura', 'aluraproduction');
SET @skill_attribute_D393_id = (SELECT id FROM SkillAttribute WHERE code = 'D393');
INSERT INTO Skill_SkillAttribute(skill_id, skill_attribute_id) 
SELECT @skill_EM13CO12_id, @skill_attribute_D393_id WHERE SCHEMA() IN ('alura', 'aluraproduction');</v>
      </c>
    </row>
    <row r="539" spans="1:4" ht="15" customHeight="1">
      <c r="A539" s="22" t="s">
        <v>1207</v>
      </c>
      <c r="B539" s="14" t="s">
        <v>1208</v>
      </c>
      <c r="C539" s="16" t="s">
        <v>142</v>
      </c>
      <c r="D539" s="36" t="str">
        <f t="shared" si="8"/>
        <v>INSERT INTO SkillAttribute(code, title) 
SELECT 'D394', 'Analisar diferentes formas de apresentação de informações baseadas em dados.' 
WHERE NOT EXISTS (SELECT 1 FROM SkillAttribute WHERE code = 'D394') 
AND SCHEMA() IN ('alura', 'aluraproduction');
SET @skill_attribute_D394_id = (SELECT id FROM SkillAttribute WHERE code = 'D394');
INSERT INTO Skill_SkillAttribute(skill_id, skill_attribute_id) 
SELECT @skill_EM13CO12_id, @skill_attribute_D394_id WHERE SCHEMA() IN ('alura', 'aluraproduction');</v>
      </c>
    </row>
    <row r="540" spans="1:4" ht="15" customHeight="1">
      <c r="A540" s="22" t="s">
        <v>1209</v>
      </c>
      <c r="B540" s="14" t="s">
        <v>1210</v>
      </c>
      <c r="C540" s="16" t="s">
        <v>142</v>
      </c>
      <c r="D540" s="36" t="str">
        <f t="shared" si="8"/>
        <v>INSERT INTO SkillAttribute(code, title) 
SELECT 'D395', 'Analisar diferentes formas de compartilhamento de informações baseadas em dados.' 
WHERE NOT EXISTS (SELECT 1 FROM SkillAttribute WHERE code = 'D395') 
AND SCHEMA() IN ('alura', 'aluraproduction');
SET @skill_attribute_D395_id = (SELECT id FROM SkillAttribute WHERE code = 'D395');
INSERT INTO Skill_SkillAttribute(skill_id, skill_attribute_id) 
SELECT @skill_EM13CO12_id, @skill_attribute_D395_id WHERE SCHEMA() IN ('alura', 'aluraproduction');</v>
      </c>
    </row>
    <row r="541" spans="1:4" ht="15" customHeight="1">
      <c r="A541" s="22" t="s">
        <v>1211</v>
      </c>
      <c r="B541" s="14" t="s">
        <v>1212</v>
      </c>
      <c r="C541" s="16" t="s">
        <v>144</v>
      </c>
      <c r="D541" s="36" t="str">
        <f t="shared" si="8"/>
        <v>INSERT INTO SkillAttribute(code, title) 
SELECT 'D396', 'Reconhecer formas de representação de dados em formato digital.' 
WHERE NOT EXISTS (SELECT 1 FROM SkillAttribute WHERE code = 'D396') 
AND SCHEMA() IN ('alura', 'aluraproduction');
SET @skill_attribute_D396_id = (SELECT id FROM SkillAttribute WHERE code = 'D396');
INSERT INTO Skill_SkillAttribute(skill_id, skill_attribute_id) 
SELECT @skill_EM13CO13_id, @skill_attribute_D396_id WHERE SCHEMA() IN ('alura', 'aluraproduction');</v>
      </c>
    </row>
    <row r="542" spans="1:4" ht="15" customHeight="1">
      <c r="A542" s="22" t="s">
        <v>1213</v>
      </c>
      <c r="B542" s="14" t="s">
        <v>1214</v>
      </c>
      <c r="C542" s="16" t="s">
        <v>144</v>
      </c>
      <c r="D542" s="36" t="str">
        <f t="shared" si="8"/>
        <v>INSERT INTO SkillAttribute(code, title) 
SELECT 'D397', 'Compreender os critérios que orientam a escolha por formas de representação de dados em formato digital.' 
WHERE NOT EXISTS (SELECT 1 FROM SkillAttribute WHERE code = 'D397') 
AND SCHEMA() IN ('alura', 'aluraproduction');
SET @skill_attribute_D397_id = (SELECT id FROM SkillAttribute WHERE code = 'D397');
INSERT INTO Skill_SkillAttribute(skill_id, skill_attribute_id) 
SELECT @skill_EM13CO13_id, @skill_attribute_D397_id WHERE SCHEMA() IN ('alura', 'aluraproduction');</v>
      </c>
    </row>
    <row r="543" spans="1:4" ht="15" customHeight="1">
      <c r="A543" s="22" t="s">
        <v>1215</v>
      </c>
      <c r="B543" s="14" t="s">
        <v>1216</v>
      </c>
      <c r="C543" s="16" t="s">
        <v>144</v>
      </c>
      <c r="D543" s="36" t="str">
        <f t="shared" si="8"/>
        <v>INSERT INTO SkillAttribute(code, title) 
SELECT 'D398', 'Compreender o uso de diferentes formas de representação de dados em formato digital.' 
WHERE NOT EXISTS (SELECT 1 FROM SkillAttribute WHERE code = 'D398') 
AND SCHEMA() IN ('alura', 'aluraproduction');
SET @skill_attribute_D398_id = (SELECT id FROM SkillAttribute WHERE code = 'D398');
INSERT INTO Skill_SkillAttribute(skill_id, skill_attribute_id) 
SELECT @skill_EM13CO13_id, @skill_attribute_D398_id WHERE SCHEMA() IN ('alura', 'aluraproduction');</v>
      </c>
    </row>
    <row r="544" spans="1:4" ht="15" customHeight="1">
      <c r="A544" s="22" t="s">
        <v>1217</v>
      </c>
      <c r="B544" s="14" t="s">
        <v>1218</v>
      </c>
      <c r="C544" s="16" t="s">
        <v>144</v>
      </c>
      <c r="D544" s="36" t="str">
        <f t="shared" si="8"/>
        <v>INSERT INTO SkillAttribute(code, title) 
SELECT 'D399', 'Analisar formas de representação de dados em formato digital.' 
WHERE NOT EXISTS (SELECT 1 FROM SkillAttribute WHERE code = 'D399') 
AND SCHEMA() IN ('alura', 'aluraproduction');
SET @skill_attribute_D399_id = (SELECT id FROM SkillAttribute WHERE code = 'D399');
INSERT INTO Skill_SkillAttribute(skill_id, skill_attribute_id) 
SELECT @skill_EM13CO13_id, @skill_attribute_D399_id WHERE SCHEMA() IN ('alura', 'aluraproduction');</v>
      </c>
    </row>
    <row r="545" spans="1:4" ht="15" customHeight="1">
      <c r="A545" s="22" t="s">
        <v>1219</v>
      </c>
      <c r="B545" s="14" t="s">
        <v>1220</v>
      </c>
      <c r="C545" s="16" t="s">
        <v>144</v>
      </c>
      <c r="D545" s="36" t="str">
        <f t="shared" si="8"/>
        <v>INSERT INTO SkillAttribute(code, title) 
SELECT 'D400', 'Analisar a adequação das formas de representação de dados digitais no contexto de pesquisas científicas.' 
WHERE NOT EXISTS (SELECT 1 FROM SkillAttribute WHERE code = 'D400') 
AND SCHEMA() IN ('alura', 'aluraproduction');
SET @skill_attribute_D400_id = (SELECT id FROM SkillAttribute WHERE code = 'D400');
INSERT INTO Skill_SkillAttribute(skill_id, skill_attribute_id) 
SELECT @skill_EM13CO13_id, @skill_attribute_D400_id WHERE SCHEMA() IN ('alura', 'aluraproduction');</v>
      </c>
    </row>
    <row r="546" spans="1:4" ht="15" customHeight="1">
      <c r="A546" s="22" t="s">
        <v>1221</v>
      </c>
      <c r="B546" s="14" t="s">
        <v>1222</v>
      </c>
      <c r="C546" s="16" t="s">
        <v>144</v>
      </c>
      <c r="D546" s="36" t="str">
        <f t="shared" si="8"/>
        <v>INSERT INTO SkillAttribute(code, title) 
SELECT 'D401', 'Identificar formas de consulta a dados em formato digital.' 
WHERE NOT EXISTS (SELECT 1 FROM SkillAttribute WHERE code = 'D401') 
AND SCHEMA() IN ('alura', 'aluraproduction');
SET @skill_attribute_D401_id = (SELECT id FROM SkillAttribute WHERE code = 'D401');
INSERT INTO Skill_SkillAttribute(skill_id, skill_attribute_id) 
SELECT @skill_EM13CO13_id, @skill_attribute_D401_id WHERE SCHEMA() IN ('alura', 'aluraproduction');</v>
      </c>
    </row>
    <row r="547" spans="1:4" ht="15" customHeight="1">
      <c r="A547" s="22" t="s">
        <v>1223</v>
      </c>
      <c r="B547" s="14" t="s">
        <v>1224</v>
      </c>
      <c r="C547" s="16" t="s">
        <v>144</v>
      </c>
      <c r="D547" s="36" t="str">
        <f t="shared" si="8"/>
        <v>INSERT INTO SkillAttribute(code, title) 
SELECT 'D402', 'Compreender os critérios que orientam a escolha por formas de consulta a dados em formato digital.' 
WHERE NOT EXISTS (SELECT 1 FROM SkillAttribute WHERE code = 'D402') 
AND SCHEMA() IN ('alura', 'aluraproduction');
SET @skill_attribute_D402_id = (SELECT id FROM SkillAttribute WHERE code = 'D402');
INSERT INTO Skill_SkillAttribute(skill_id, skill_attribute_id) 
SELECT @skill_EM13CO13_id, @skill_attribute_D402_id WHERE SCHEMA() IN ('alura', 'aluraproduction');</v>
      </c>
    </row>
    <row r="548" spans="1:4" ht="15" customHeight="1">
      <c r="A548" s="22" t="s">
        <v>1225</v>
      </c>
      <c r="B548" s="14" t="s">
        <v>1226</v>
      </c>
      <c r="C548" s="16" t="s">
        <v>144</v>
      </c>
      <c r="D548" s="36" t="str">
        <f t="shared" si="8"/>
        <v>INSERT INTO SkillAttribute(code, title) 
SELECT 'D403', 'Compreender o uso de diferentes formas de consulta a dados em formato digital.' 
WHERE NOT EXISTS (SELECT 1 FROM SkillAttribute WHERE code = 'D403') 
AND SCHEMA() IN ('alura', 'aluraproduction');
SET @skill_attribute_D403_id = (SELECT id FROM SkillAttribute WHERE code = 'D403');
INSERT INTO Skill_SkillAttribute(skill_id, skill_attribute_id) 
SELECT @skill_EM13CO13_id, @skill_attribute_D403_id WHERE SCHEMA() IN ('alura', 'aluraproduction');</v>
      </c>
    </row>
    <row r="549" spans="1:4" ht="15" customHeight="1">
      <c r="A549" s="22" t="s">
        <v>1227</v>
      </c>
      <c r="B549" s="14" t="s">
        <v>1228</v>
      </c>
      <c r="C549" s="16" t="s">
        <v>144</v>
      </c>
      <c r="D549" s="36" t="str">
        <f t="shared" si="8"/>
        <v>INSERT INTO SkillAttribute(code, title) 
SELECT 'D404', 'Analisar a adequação das formas de consulta a dados digitais no contexto de pesquisas científicas.' 
WHERE NOT EXISTS (SELECT 1 FROM SkillAttribute WHERE code = 'D404') 
AND SCHEMA() IN ('alura', 'aluraproduction');
SET @skill_attribute_D404_id = (SELECT id FROM SkillAttribute WHERE code = 'D404');
INSERT INTO Skill_SkillAttribute(skill_id, skill_attribute_id) 
SELECT @skill_EM13CO13_id, @skill_attribute_D404_id WHERE SCHEMA() IN ('alura', 'aluraproduction');</v>
      </c>
    </row>
    <row r="550" spans="1:4" ht="15" customHeight="1">
      <c r="A550" s="22" t="s">
        <v>1229</v>
      </c>
      <c r="B550" s="14" t="s">
        <v>1230</v>
      </c>
      <c r="C550" s="16" t="s">
        <v>144</v>
      </c>
      <c r="D550" s="36" t="str">
        <f t="shared" si="8"/>
        <v>INSERT INTO SkillAttribute(code, title) 
SELECT 'D405', 'Relacionar tipos de dados a formas adequadas de representação ou consulta em formato digital.' 
WHERE NOT EXISTS (SELECT 1 FROM SkillAttribute WHERE code = 'D405') 
AND SCHEMA() IN ('alura', 'aluraproduction');
SET @skill_attribute_D405_id = (SELECT id FROM SkillAttribute WHERE code = 'D405');
INSERT INTO Skill_SkillAttribute(skill_id, skill_attribute_id) 
SELECT @skill_EM13CO13_id, @skill_attribute_D405_id WHERE SCHEMA() IN ('alura', 'aluraproduction');</v>
      </c>
    </row>
    <row r="551" spans="1:4" ht="15" customHeight="1">
      <c r="A551" s="21" t="s">
        <v>1231</v>
      </c>
      <c r="B551" s="15" t="s">
        <v>1232</v>
      </c>
      <c r="C551" s="16" t="s">
        <v>146</v>
      </c>
      <c r="D551" s="36" t="str">
        <f t="shared" si="8"/>
        <v>INSERT INTO SkillAttribute(code, title) 
SELECT 'D597', 'Identificar critérios de autoria em conteúdos digitais.' 
WHERE NOT EXISTS (SELECT 1 FROM SkillAttribute WHERE code = 'D597') 
AND SCHEMA() IN ('alura', 'aluraproduction');
SET @skill_attribute_D597_id = (SELECT id FROM SkillAttribute WHERE code = 'D597');
INSERT INTO Skill_SkillAttribute(skill_id, skill_attribute_id) 
SELECT @skill_EM13CO14_id, @skill_attribute_D597_id WHERE SCHEMA() IN ('alura', 'aluraproduction');</v>
      </c>
    </row>
    <row r="552" spans="1:4" ht="15" customHeight="1">
      <c r="A552" s="21" t="s">
        <v>1233</v>
      </c>
      <c r="B552" s="15" t="s">
        <v>1234</v>
      </c>
      <c r="C552" s="16" t="s">
        <v>146</v>
      </c>
      <c r="D552" s="36" t="str">
        <f t="shared" si="8"/>
        <v>INSERT INTO SkillAttribute(code, title) 
SELECT 'D598', 'Compreender estruturas comuns de apresentação de informações online.' 
WHERE NOT EXISTS (SELECT 1 FROM SkillAttribute WHERE code = 'D598') 
AND SCHEMA() IN ('alura', 'aluraproduction');
SET @skill_attribute_D598_id = (SELECT id FROM SkillAttribute WHERE code = 'D598');
INSERT INTO Skill_SkillAttribute(skill_id, skill_attribute_id) 
SELECT @skill_EM13CO14_id, @skill_attribute_D598_id WHERE SCHEMA() IN ('alura', 'aluraproduction');</v>
      </c>
    </row>
    <row r="553" spans="1:4" ht="15" customHeight="1">
      <c r="A553" s="21" t="s">
        <v>1235</v>
      </c>
      <c r="B553" s="15" t="s">
        <v>1236</v>
      </c>
      <c r="C553" s="16" t="s">
        <v>146</v>
      </c>
      <c r="D553" s="36" t="str">
        <f t="shared" si="8"/>
        <v>INSERT INTO SkillAttribute(code, title) 
SELECT 'D599', 'Identificar propósitos de mensagens veiculadas em meio digital.' 
WHERE NOT EXISTS (SELECT 1 FROM SkillAttribute WHERE code = 'D599') 
AND SCHEMA() IN ('alura', 'aluraproduction');
SET @skill_attribute_D599_id = (SELECT id FROM SkillAttribute WHERE code = 'D599');
INSERT INTO Skill_SkillAttribute(skill_id, skill_attribute_id) 
SELECT @skill_EM13CO14_id, @skill_attribute_D599_id WHERE SCHEMA() IN ('alura', 'aluraproduction');</v>
      </c>
    </row>
    <row r="554" spans="1:4" ht="15" customHeight="1">
      <c r="A554" s="21" t="s">
        <v>1237</v>
      </c>
      <c r="B554" s="15" t="s">
        <v>1238</v>
      </c>
      <c r="C554" s="16" t="s">
        <v>146</v>
      </c>
      <c r="D554" s="36" t="str">
        <f t="shared" si="8"/>
        <v>INSERT INTO SkillAttribute(code, title) 
SELECT 'D600', 'Analisar modos de construção de um texto ou mídia digital.' 
WHERE NOT EXISTS (SELECT 1 FROM SkillAttribute WHERE code = 'D600') 
AND SCHEMA() IN ('alura', 'aluraproduction');
SET @skill_attribute_D600_id = (SELECT id FROM SkillAttribute WHERE code = 'D600');
INSERT INTO Skill_SkillAttribute(skill_id, skill_attribute_id) 
SELECT @skill_EM13CO14_id, @skill_attribute_D600_id WHERE SCHEMA() IN ('alura', 'aluraproduction');</v>
      </c>
    </row>
    <row r="555" spans="1:4" ht="15" customHeight="1">
      <c r="A555" s="21" t="s">
        <v>1239</v>
      </c>
      <c r="B555" s="15" t="s">
        <v>1240</v>
      </c>
      <c r="C555" s="16" t="s">
        <v>146</v>
      </c>
      <c r="D555" s="36" t="str">
        <f t="shared" si="8"/>
        <v>INSERT INTO SkillAttribute(code, title) 
SELECT 'D601', 'Avaliar a confiabilidade de informações encontradas em ambiente digital.' 
WHERE NOT EXISTS (SELECT 1 FROM SkillAttribute WHERE code = 'D601') 
AND SCHEMA() IN ('alura', 'aluraproduction');
SET @skill_attribute_D601_id = (SELECT id FROM SkillAttribute WHERE code = 'D601');
INSERT INTO Skill_SkillAttribute(skill_id, skill_attribute_id) 
SELECT @skill_EM13CO14_id, @skill_attribute_D601_id WHERE SCHEMA() IN ('alura', 'aluraproduction');</v>
      </c>
    </row>
    <row r="556" spans="1:4" ht="15" customHeight="1">
      <c r="A556" s="21" t="s">
        <v>1241</v>
      </c>
      <c r="B556" s="15" t="s">
        <v>1242</v>
      </c>
      <c r="C556" s="16" t="s">
        <v>146</v>
      </c>
      <c r="D556" s="36" t="str">
        <f t="shared" si="8"/>
        <v>INSERT INTO SkillAttribute(code, title) 
SELECT 'D602', 'Distinguir fontes primárias de fontes secundárias na internet.' 
WHERE NOT EXISTS (SELECT 1 FROM SkillAttribute WHERE code = 'D602') 
AND SCHEMA() IN ('alura', 'aluraproduction');
SET @skill_attribute_D602_id = (SELECT id FROM SkillAttribute WHERE code = 'D602');
INSERT INTO Skill_SkillAttribute(skill_id, skill_attribute_id) 
SELECT @skill_EM13CO14_id, @skill_attribute_D602_id WHERE SCHEMA() IN ('alura', 'aluraproduction');</v>
      </c>
    </row>
    <row r="557" spans="1:4" ht="15" customHeight="1">
      <c r="A557" s="21" t="s">
        <v>1243</v>
      </c>
      <c r="B557" s="15" t="s">
        <v>1244</v>
      </c>
      <c r="C557" s="16" t="s">
        <v>146</v>
      </c>
      <c r="D557" s="36" t="str">
        <f t="shared" si="8"/>
        <v>INSERT INTO SkillAttribute(code, title) 
SELECT 'D603', 'Analisar indícios de viés em conteúdos digitais com base na autoria.' 
WHERE NOT EXISTS (SELECT 1 FROM SkillAttribute WHERE code = 'D603') 
AND SCHEMA() IN ('alura', 'aluraproduction');
SET @skill_attribute_D603_id = (SELECT id FROM SkillAttribute WHERE code = 'D603');
INSERT INTO Skill_SkillAttribute(skill_id, skill_attribute_id) 
SELECT @skill_EM13CO14_id, @skill_attribute_D603_id WHERE SCHEMA() IN ('alura', 'aluraproduction');</v>
      </c>
    </row>
    <row r="558" spans="1:4" ht="15" customHeight="1">
      <c r="A558" s="22" t="s">
        <v>1245</v>
      </c>
      <c r="B558" s="14" t="s">
        <v>1246</v>
      </c>
      <c r="C558" s="16" t="s">
        <v>148</v>
      </c>
      <c r="D558" s="36" t="str">
        <f t="shared" si="8"/>
        <v>INSERT INTO SkillAttribute(code, title) 
SELECT 'D406', 'Identificar formas de interação entre usuários e artefatos computacionais.' 
WHERE NOT EXISTS (SELECT 1 FROM SkillAttribute WHERE code = 'D406') 
AND SCHEMA() IN ('alura', 'aluraproduction');
SET @skill_attribute_D406_id = (SELECT id FROM SkillAttribute WHERE code = 'D406');
INSERT INTO Skill_SkillAttribute(skill_id, skill_attribute_id) 
SELECT @skill_EM13CO15_id, @skill_attribute_D406_id WHERE SCHEMA() IN ('alura', 'aluraproduction');</v>
      </c>
    </row>
    <row r="559" spans="1:4" ht="15" customHeight="1">
      <c r="A559" s="22" t="s">
        <v>1247</v>
      </c>
      <c r="B559" s="14" t="s">
        <v>1248</v>
      </c>
      <c r="C559" s="16" t="s">
        <v>148</v>
      </c>
      <c r="D559" s="36" t="str">
        <f t="shared" si="8"/>
        <v>INSERT INTO SkillAttribute(code, title) 
SELECT 'D407', 'Analisar a adequação das formas de interação entre usuários e artefatos computacionais.' 
WHERE NOT EXISTS (SELECT 1 FROM SkillAttribute WHERE code = 'D407') 
AND SCHEMA() IN ('alura', 'aluraproduction');
SET @skill_attribute_D407_id = (SELECT id FROM SkillAttribute WHERE code = 'D407');
INSERT INTO Skill_SkillAttribute(skill_id, skill_attribute_id) 
SELECT @skill_EM13CO15_id, @skill_attribute_D407_id WHERE SCHEMA() IN ('alura', 'aluraproduction');</v>
      </c>
    </row>
    <row r="560" spans="1:4" ht="15" customHeight="1">
      <c r="A560" s="22" t="s">
        <v>1249</v>
      </c>
      <c r="B560" s="14" t="s">
        <v>1250</v>
      </c>
      <c r="C560" s="16" t="s">
        <v>148</v>
      </c>
      <c r="D560" s="36" t="str">
        <f t="shared" si="8"/>
        <v>INSERT INTO SkillAttribute(code, title) 
SELECT 'D408', 'Analisar aspectos da experiência do usuário com artefatos computacionais.' 
WHERE NOT EXISTS (SELECT 1 FROM SkillAttribute WHERE code = 'D408') 
AND SCHEMA() IN ('alura', 'aluraproduction');
SET @skill_attribute_D408_id = (SELECT id FROM SkillAttribute WHERE code = 'D408');
INSERT INTO Skill_SkillAttribute(skill_id, skill_attribute_id) 
SELECT @skill_EM13CO15_id, @skill_attribute_D408_id WHERE SCHEMA() IN ('alura', 'aluraproduction');</v>
      </c>
    </row>
    <row r="561" spans="1:4" ht="15" customHeight="1">
      <c r="A561" s="22" t="s">
        <v>1251</v>
      </c>
      <c r="B561" s="14" t="s">
        <v>1252</v>
      </c>
      <c r="C561" s="16" t="s">
        <v>148</v>
      </c>
      <c r="D561" s="36" t="str">
        <f t="shared" si="8"/>
        <v>INSERT INTO SkillAttribute(code, title) 
SELECT 'D409', 'Compreender critérios que caracterizam uma boa experiência do usuário com artefatos computacionais.' 
WHERE NOT EXISTS (SELECT 1 FROM SkillAttribute WHERE code = 'D409') 
AND SCHEMA() IN ('alura', 'aluraproduction');
SET @skill_attribute_D409_id = (SELECT id FROM SkillAttribute WHERE code = 'D409');
INSERT INTO Skill_SkillAttribute(skill_id, skill_attribute_id) 
SELECT @skill_EM13CO15_id, @skill_attribute_D409_id WHERE SCHEMA() IN ('alura', 'aluraproduction');</v>
      </c>
    </row>
    <row r="562" spans="1:4" ht="15" customHeight="1">
      <c r="A562" s="22" t="s">
        <v>1253</v>
      </c>
      <c r="B562" s="14" t="s">
        <v>1254</v>
      </c>
      <c r="C562" s="16" t="s">
        <v>148</v>
      </c>
      <c r="D562" s="36" t="str">
        <f t="shared" si="8"/>
        <v>INSERT INTO SkillAttribute(code, title) 
SELECT 'D410', 'Reconhecer interações que promovem qualidade no uso de artefatos computacionais.' 
WHERE NOT EXISTS (SELECT 1 FROM SkillAttribute WHERE code = 'D410') 
AND SCHEMA() IN ('alura', 'aluraproduction');
SET @skill_attribute_D410_id = (SELECT id FROM SkillAttribute WHERE code = 'D410');
INSERT INTO Skill_SkillAttribute(skill_id, skill_attribute_id) 
SELECT @skill_EM13CO15_id, @skill_attribute_D410_id WHERE SCHEMA() IN ('alura', 'aluraproduction');</v>
      </c>
    </row>
    <row r="563" spans="1:4" ht="15" customHeight="1">
      <c r="A563" s="22" t="s">
        <v>1255</v>
      </c>
      <c r="B563" s="14" t="s">
        <v>1256</v>
      </c>
      <c r="C563" s="16" t="s">
        <v>148</v>
      </c>
      <c r="D563" s="36" t="str">
        <f t="shared" si="8"/>
        <v>INSERT INTO SkillAttribute(code, title) 
SELECT 'D411', 'Relacionar formas de uso de artefatos computacionais a diferentes esferas da vida.' 
WHERE NOT EXISTS (SELECT 1 FROM SkillAttribute WHERE code = 'D411') 
AND SCHEMA() IN ('alura', 'aluraproduction');
SET @skill_attribute_D411_id = (SELECT id FROM SkillAttribute WHERE code = 'D411');
INSERT INTO Skill_SkillAttribute(skill_id, skill_attribute_id) 
SELECT @skill_EM13CO15_id, @skill_attribute_D411_id WHERE SCHEMA() IN ('alura', 'aluraproduction');</v>
      </c>
    </row>
    <row r="564" spans="1:4" ht="15" customHeight="1">
      <c r="A564" s="22" t="s">
        <v>1257</v>
      </c>
      <c r="B564" s="14" t="s">
        <v>1258</v>
      </c>
      <c r="C564" s="16" t="s">
        <v>148</v>
      </c>
      <c r="D564" s="36" t="str">
        <f t="shared" si="8"/>
        <v>INSERT INTO SkillAttribute(code, title) 
SELECT 'D412', 'Analisar a qualidade do uso de artefatos computacionais em diferentes contextos de uso.' 
WHERE NOT EXISTS (SELECT 1 FROM SkillAttribute WHERE code = 'D412') 
AND SCHEMA() IN ('alura', 'aluraproduction');
SET @skill_attribute_D412_id = (SELECT id FROM SkillAttribute WHERE code = 'D412');
INSERT INTO Skill_SkillAttribute(skill_id, skill_attribute_id) 
SELECT @skill_EM13CO15_id, @skill_attribute_D412_id WHERE SCHEMA() IN ('alura', 'aluraproduction');</v>
      </c>
    </row>
    <row r="565" spans="1:4" ht="15" customHeight="1">
      <c r="A565" s="20" t="s">
        <v>1259</v>
      </c>
      <c r="B565" s="15" t="s">
        <v>1260</v>
      </c>
      <c r="C565" s="16" t="s">
        <v>150</v>
      </c>
      <c r="D565" s="36" t="str">
        <f t="shared" si="8"/>
        <v>INSERT INTO SkillAttribute(code, title) 
SELECT 'D604', 'Identificar componentes básicos de um sistema robótico.' 
WHERE NOT EXISTS (SELECT 1 FROM SkillAttribute WHERE code = 'D604') 
AND SCHEMA() IN ('alura', 'aluraproduction');
SET @skill_attribute_D604_id = (SELECT id FROM SkillAttribute WHERE code = 'D604');
INSERT INTO Skill_SkillAttribute(skill_id, skill_attribute_id) 
SELECT @skill_EM13CO16_id, @skill_attribute_D604_id WHERE SCHEMA() IN ('alura', 'aluraproduction');</v>
      </c>
    </row>
    <row r="566" spans="1:4" ht="15" customHeight="1">
      <c r="A566" s="20" t="s">
        <v>1261</v>
      </c>
      <c r="B566" s="15" t="s">
        <v>1262</v>
      </c>
      <c r="C566" s="16" t="s">
        <v>150</v>
      </c>
      <c r="D566" s="36" t="str">
        <f t="shared" si="8"/>
        <v>INSERT INTO SkillAttribute(code, title) 
SELECT 'D605', 'Compreender a função de sensores em um artefato robótico.' 
WHERE NOT EXISTS (SELECT 1 FROM SkillAttribute WHERE code = 'D605') 
AND SCHEMA() IN ('alura', 'aluraproduction');
SET @skill_attribute_D605_id = (SELECT id FROM SkillAttribute WHERE code = 'D605');
INSERT INTO Skill_SkillAttribute(skill_id, skill_attribute_id) 
SELECT @skill_EM13CO16_id, @skill_attribute_D605_id WHERE SCHEMA() IN ('alura', 'aluraproduction');</v>
      </c>
    </row>
    <row r="567" spans="1:4" ht="15" customHeight="1">
      <c r="A567" s="20" t="s">
        <v>1263</v>
      </c>
      <c r="B567" s="15" t="s">
        <v>1264</v>
      </c>
      <c r="C567" s="16" t="s">
        <v>150</v>
      </c>
      <c r="D567" s="36" t="str">
        <f t="shared" si="8"/>
        <v>INSERT INTO SkillAttribute(code, title) 
SELECT 'D606', 'Compreender a função de atuadores em um artefato robótico.' 
WHERE NOT EXISTS (SELECT 1 FROM SkillAttribute WHERE code = 'D606') 
AND SCHEMA() IN ('alura', 'aluraproduction');
SET @skill_attribute_D606_id = (SELECT id FROM SkillAttribute WHERE code = 'D606');
INSERT INTO Skill_SkillAttribute(skill_id, skill_attribute_id) 
SELECT @skill_EM13CO16_id, @skill_attribute_D606_id WHERE SCHEMA() IN ('alura', 'aluraproduction');</v>
      </c>
    </row>
    <row r="568" spans="1:4" ht="15" customHeight="1">
      <c r="A568" s="20" t="s">
        <v>1265</v>
      </c>
      <c r="B568" s="15" t="s">
        <v>1266</v>
      </c>
      <c r="C568" s="16" t="s">
        <v>150</v>
      </c>
      <c r="D568" s="36" t="str">
        <f t="shared" si="8"/>
        <v>INSERT INTO SkillAttribute(code, title) 
SELECT 'D607', 'Analisar diferenças entre uso de artefatos físicos e simuladores digitais.' 
WHERE NOT EXISTS (SELECT 1 FROM SkillAttribute WHERE code = 'D607') 
AND SCHEMA() IN ('alura', 'aluraproduction');
SET @skill_attribute_D607_id = (SELECT id FROM SkillAttribute WHERE code = 'D607');
INSERT INTO Skill_SkillAttribute(skill_id, skill_attribute_id) 
SELECT @skill_EM13CO16_id, @skill_attribute_D607_id WHERE SCHEMA() IN ('alura', 'aluraproduction');</v>
      </c>
    </row>
    <row r="569" spans="1:4" ht="15" customHeight="1">
      <c r="A569" s="20" t="s">
        <v>1267</v>
      </c>
      <c r="B569" s="15" t="s">
        <v>1268</v>
      </c>
      <c r="C569" s="16" t="s">
        <v>150</v>
      </c>
      <c r="D569" s="36" t="str">
        <f t="shared" si="8"/>
        <v>INSERT INTO SkillAttribute(code, title) 
SELECT 'D608', 'Identificar simuladores adequados para testes de projetos de robótica.' 
WHERE NOT EXISTS (SELECT 1 FROM SkillAttribute WHERE code = 'D608') 
AND SCHEMA() IN ('alura', 'aluraproduction');
SET @skill_attribute_D608_id = (SELECT id FROM SkillAttribute WHERE code = 'D608');
INSERT INTO Skill_SkillAttribute(skill_id, skill_attribute_id) 
SELECT @skill_EM13CO16_id, @skill_attribute_D608_id WHERE SCHEMA() IN ('alura', 'aluraproduction');</v>
      </c>
    </row>
    <row r="570" spans="1:4" ht="15" customHeight="1">
      <c r="A570" s="20" t="s">
        <v>1269</v>
      </c>
      <c r="B570" s="15" t="s">
        <v>1270</v>
      </c>
      <c r="C570" s="16" t="s">
        <v>150</v>
      </c>
      <c r="D570" s="36" t="str">
        <f t="shared" si="8"/>
        <v>INSERT INTO SkillAttribute(code, title) 
SELECT 'D609', 'Compreender etapas de planejamento de um projeto robótico.' 
WHERE NOT EXISTS (SELECT 1 FROM SkillAttribute WHERE code = 'D609') 
AND SCHEMA() IN ('alura', 'aluraproduction');
SET @skill_attribute_D609_id = (SELECT id FROM SkillAttribute WHERE code = 'D609');
INSERT INTO Skill_SkillAttribute(skill_id, skill_attribute_id) 
SELECT @skill_EM13CO16_id, @skill_attribute_D609_id WHERE SCHEMA() IN ('alura', 'aluraproduction');</v>
      </c>
    </row>
    <row r="571" spans="1:4" ht="15" customHeight="1">
      <c r="A571" s="20" t="s">
        <v>1271</v>
      </c>
      <c r="B571" s="15" t="s">
        <v>1272</v>
      </c>
      <c r="C571" s="16" t="s">
        <v>150</v>
      </c>
      <c r="D571" s="36" t="str">
        <f t="shared" si="8"/>
        <v>INSERT INTO SkillAttribute(code, title) 
SELECT 'D610', 'Analisar critérios para seleção de materiais em um projeto físico de robótica.' 
WHERE NOT EXISTS (SELECT 1 FROM SkillAttribute WHERE code = 'D610') 
AND SCHEMA() IN ('alura', 'aluraproduction');
SET @skill_attribute_D610_id = (SELECT id FROM SkillAttribute WHERE code = 'D610');
INSERT INTO Skill_SkillAttribute(skill_id, skill_attribute_id) 
SELECT @skill_EM13CO16_id, @skill_attribute_D610_id WHERE SCHEMA() IN ('alura', 'aluraproduction');</v>
      </c>
    </row>
    <row r="572" spans="1:4" ht="15" customHeight="1">
      <c r="A572" s="20" t="s">
        <v>1273</v>
      </c>
      <c r="B572" s="15" t="s">
        <v>1274</v>
      </c>
      <c r="C572" s="16" t="s">
        <v>150</v>
      </c>
      <c r="D572" s="36" t="str">
        <f t="shared" si="8"/>
        <v>INSERT INTO SkillAttribute(code, title) 
SELECT 'D611', 'Identificar sequência de comandos que permite a um robô cumprir uma tarefa.' 
WHERE NOT EXISTS (SELECT 1 FROM SkillAttribute WHERE code = 'D611') 
AND SCHEMA() IN ('alura', 'aluraproduction');
SET @skill_attribute_D611_id = (SELECT id FROM SkillAttribute WHERE code = 'D611');
INSERT INTO Skill_SkillAttribute(skill_id, skill_attribute_id) 
SELECT @skill_EM13CO16_id, @skill_attribute_D611_id WHERE SCHEMA() IN ('alura', 'aluraproduction');</v>
      </c>
    </row>
    <row r="573" spans="1:4" ht="15" customHeight="1">
      <c r="A573" s="20" t="s">
        <v>1275</v>
      </c>
      <c r="B573" s="15" t="s">
        <v>1276</v>
      </c>
      <c r="C573" s="16" t="s">
        <v>150</v>
      </c>
      <c r="D573" s="36" t="str">
        <f t="shared" si="8"/>
        <v>INSERT INTO SkillAttribute(code, title) 
SELECT 'D612', 'Identificar indicadores de desempenho em um projeto robótico em ambiente simulado.' 
WHERE NOT EXISTS (SELECT 1 FROM SkillAttribute WHERE code = 'D612') 
AND SCHEMA() IN ('alura', 'aluraproduction');
SET @skill_attribute_D612_id = (SELECT id FROM SkillAttribute WHERE code = 'D612');
INSERT INTO Skill_SkillAttribute(skill_id, skill_attribute_id) 
SELECT @skill_EM13CO16_id, @skill_attribute_D612_id WHERE SCHEMA() IN ('alura', 'aluraproduction');</v>
      </c>
    </row>
    <row r="574" spans="1:4" ht="15" customHeight="1">
      <c r="A574" s="19" t="s">
        <v>1277</v>
      </c>
      <c r="B574" s="14" t="s">
        <v>1278</v>
      </c>
      <c r="C574" s="16" t="s">
        <v>152</v>
      </c>
      <c r="D574" s="36" t="str">
        <f t="shared" si="8"/>
        <v>INSERT INTO SkillAttribute(code, title) 
SELECT 'D413', 'Reconhecer diferentes tipos de redes virtuais.' 
WHERE NOT EXISTS (SELECT 1 FROM SkillAttribute WHERE code = 'D413') 
AND SCHEMA() IN ('alura', 'aluraproduction');
SET @skill_attribute_D413_id = (SELECT id FROM SkillAttribute WHERE code = 'D413');
INSERT INTO Skill_SkillAttribute(skill_id, skill_attribute_id) 
SELECT @skill_EM13CO17_id, @skill_attribute_D413_id WHERE SCHEMA() IN ('alura', 'aluraproduction');</v>
      </c>
    </row>
    <row r="575" spans="1:4" ht="15" customHeight="1">
      <c r="A575" s="19" t="s">
        <v>1279</v>
      </c>
      <c r="B575" s="14" t="s">
        <v>1280</v>
      </c>
      <c r="C575" s="16" t="s">
        <v>152</v>
      </c>
      <c r="D575" s="36" t="str">
        <f t="shared" si="8"/>
        <v>INSERT INTO SkillAttribute(code, title) 
SELECT 'D414', 'Identificar ferramentas utilizadas no desenvolvimento de projetos em redes virtuais.' 
WHERE NOT EXISTS (SELECT 1 FROM SkillAttribute WHERE code = 'D414') 
AND SCHEMA() IN ('alura', 'aluraproduction');
SET @skill_attribute_D414_id = (SELECT id FROM SkillAttribute WHERE code = 'D414');
INSERT INTO Skill_SkillAttribute(skill_id, skill_attribute_id) 
SELECT @skill_EM13CO17_id, @skill_attribute_D414_id WHERE SCHEMA() IN ('alura', 'aluraproduction');</v>
      </c>
    </row>
    <row r="576" spans="1:4" ht="15" customHeight="1">
      <c r="A576" s="19" t="s">
        <v>1281</v>
      </c>
      <c r="B576" s="14" t="s">
        <v>1282</v>
      </c>
      <c r="C576" s="16" t="s">
        <v>152</v>
      </c>
      <c r="D576" s="36" t="str">
        <f t="shared" si="8"/>
        <v>INSERT INTO SkillAttribute(code, title) 
SELECT 'D415', 'Compreender o uso de ferramentas no desenvolvimento de projetos em redes virtuais.' 
WHERE NOT EXISTS (SELECT 1 FROM SkillAttribute WHERE code = 'D415') 
AND SCHEMA() IN ('alura', 'aluraproduction');
SET @skill_attribute_D415_id = (SELECT id FROM SkillAttribute WHERE code = 'D415');
INSERT INTO Skill_SkillAttribute(skill_id, skill_attribute_id) 
SELECT @skill_EM13CO17_id, @skill_attribute_D415_id WHERE SCHEMA() IN ('alura', 'aluraproduction');</v>
      </c>
    </row>
    <row r="577" spans="1:4" ht="15" customHeight="1">
      <c r="A577" s="19" t="s">
        <v>1283</v>
      </c>
      <c r="B577" s="14" t="s">
        <v>1284</v>
      </c>
      <c r="C577" s="16" t="s">
        <v>152</v>
      </c>
      <c r="D577" s="36" t="str">
        <f t="shared" si="8"/>
        <v>INSERT INTO SkillAttribute(code, title) 
SELECT 'D416', 'Compreender a forma de organização da colaboração em diferentes tipos de redes virtuais.' 
WHERE NOT EXISTS (SELECT 1 FROM SkillAttribute WHERE code = 'D416') 
AND SCHEMA() IN ('alura', 'aluraproduction');
SET @skill_attribute_D416_id = (SELECT id FROM SkillAttribute WHERE code = 'D416');
INSERT INTO Skill_SkillAttribute(skill_id, skill_attribute_id) 
SELECT @skill_EM13CO17_id, @skill_attribute_D416_id WHERE SCHEMA() IN ('alura', 'aluraproduction');</v>
      </c>
    </row>
    <row r="578" spans="1:4" ht="15" customHeight="1">
      <c r="A578" s="19" t="s">
        <v>1285</v>
      </c>
      <c r="B578" s="14" t="s">
        <v>1286</v>
      </c>
      <c r="C578" s="16" t="s">
        <v>152</v>
      </c>
      <c r="D578" s="36" t="str">
        <f t="shared" si="8"/>
        <v>INSERT INTO SkillAttribute(code, title) 
SELECT 'D417', 'Analisar formas de interação entre usuários em redes virtuais.' 
WHERE NOT EXISTS (SELECT 1 FROM SkillAttribute WHERE code = 'D417') 
AND SCHEMA() IN ('alura', 'aluraproduction');
SET @skill_attribute_D417_id = (SELECT id FROM SkillAttribute WHERE code = 'D417');
INSERT INTO Skill_SkillAttribute(skill_id, skill_attribute_id) 
SELECT @skill_EM13CO17_id, @skill_attribute_D417_id WHERE SCHEMA() IN ('alura', 'aluraproduction');</v>
      </c>
    </row>
    <row r="579" spans="1:4" ht="15" customHeight="1">
      <c r="A579" s="19" t="s">
        <v>1287</v>
      </c>
      <c r="B579" s="14" t="s">
        <v>1288</v>
      </c>
      <c r="C579" s="16" t="s">
        <v>152</v>
      </c>
      <c r="D579" s="36" t="str">
        <f t="shared" ref="D579:D642" si="9">"INSERT INTO SkillAttribute(code, title) " &amp; CHAR(10) &amp;
"SELECT '" &amp; A579 &amp; "', '" &amp; SUBSTITUTE(B579, "'", "''") &amp; "' " &amp; CHAR(10) &amp;
"WHERE NOT EXISTS (SELECT 1 FROM SkillAttribute WHERE code = '" &amp; A579 &amp; "') " &amp; CHAR(10) &amp;
"AND SCHEMA() IN ('alura', 'aluraproduction');" &amp;
CHAR(10) &amp; CHAR(10) &amp;
"SET @skill_attribute_" &amp; A579 &amp; "_id = (SELECT id FROM SkillAttribute WHERE code = '" &amp; A579 &amp; "');" &amp;
CHAR(10) &amp; CHAR(10) &amp;
"INSERT INTO Skill_SkillAttribute(skill_id, skill_attribute_id) " &amp; CHAR(10) &amp;
"SELECT @skill_" &amp; C579 &amp; "_id, @skill_attribute_" &amp; A579 &amp; "_id WHERE SCHEMA() IN ('alura', 'aluraproduction');"</f>
        <v>INSERT INTO SkillAttribute(code, title) 
SELECT 'D418', 'Analisar estratégias de colaboração em redes virtuais.' 
WHERE NOT EXISTS (SELECT 1 FROM SkillAttribute WHERE code = 'D418') 
AND SCHEMA() IN ('alura', 'aluraproduction');
SET @skill_attribute_D418_id = (SELECT id FROM SkillAttribute WHERE code = 'D418');
INSERT INTO Skill_SkillAttribute(skill_id, skill_attribute_id) 
SELECT @skill_EM13CO17_id, @skill_attribute_D418_id WHERE SCHEMA() IN ('alura', 'aluraproduction');</v>
      </c>
    </row>
    <row r="580" spans="1:4" ht="15" customHeight="1">
      <c r="A580" s="19" t="s">
        <v>1289</v>
      </c>
      <c r="B580" s="14" t="s">
        <v>1290</v>
      </c>
      <c r="C580" s="16" t="s">
        <v>152</v>
      </c>
      <c r="D580" s="36" t="str">
        <f t="shared" si="9"/>
        <v>INSERT INTO SkillAttribute(code, title) 
SELECT 'D419', 'Reconhecer práticas seguras no uso de redes virtuais de colaboração.' 
WHERE NOT EXISTS (SELECT 1 FROM SkillAttribute WHERE code = 'D419') 
AND SCHEMA() IN ('alura', 'aluraproduction');
SET @skill_attribute_D419_id = (SELECT id FROM SkillAttribute WHERE code = 'D419');
INSERT INTO Skill_SkillAttribute(skill_id, skill_attribute_id) 
SELECT @skill_EM13CO17_id, @skill_attribute_D419_id WHERE SCHEMA() IN ('alura', 'aluraproduction');</v>
      </c>
    </row>
    <row r="581" spans="1:4" ht="15" customHeight="1">
      <c r="A581" s="19" t="s">
        <v>1291</v>
      </c>
      <c r="B581" s="14" t="s">
        <v>1292</v>
      </c>
      <c r="C581" s="16" t="s">
        <v>152</v>
      </c>
      <c r="D581" s="36" t="str">
        <f t="shared" si="9"/>
        <v>INSERT INTO SkillAttribute(code, title) 
SELECT 'D420', 'Compreender aspectos legais envolvidos na colaboração em redes virtuais.' 
WHERE NOT EXISTS (SELECT 1 FROM SkillAttribute WHERE code = 'D420') 
AND SCHEMA() IN ('alura', 'aluraproduction');
SET @skill_attribute_D420_id = (SELECT id FROM SkillAttribute WHERE code = 'D420');
INSERT INTO Skill_SkillAttribute(skill_id, skill_attribute_id) 
SELECT @skill_EM13CO17_id, @skill_attribute_D420_id WHERE SCHEMA() IN ('alura', 'aluraproduction');</v>
      </c>
    </row>
    <row r="582" spans="1:4" ht="15" customHeight="1">
      <c r="A582" s="19" t="s">
        <v>1293</v>
      </c>
      <c r="B582" s="14" t="s">
        <v>1294</v>
      </c>
      <c r="C582" s="16" t="s">
        <v>152</v>
      </c>
      <c r="D582" s="36" t="str">
        <f t="shared" si="9"/>
        <v>INSERT INTO SkillAttribute(code, title) 
SELECT 'D421', 'Compreender aspectos éticos envolvidos na colaboração em redes virtuais.' 
WHERE NOT EXISTS (SELECT 1 FROM SkillAttribute WHERE code = 'D421') 
AND SCHEMA() IN ('alura', 'aluraproduction');
SET @skill_attribute_D421_id = (SELECT id FROM SkillAttribute WHERE code = 'D421');
INSERT INTO Skill_SkillAttribute(skill_id, skill_attribute_id) 
SELECT @skill_EM13CO17_id, @skill_attribute_D421_id WHERE SCHEMA() IN ('alura', 'aluraproduction');</v>
      </c>
    </row>
    <row r="583" spans="1:4" ht="15" customHeight="1">
      <c r="A583" s="19" t="s">
        <v>1295</v>
      </c>
      <c r="B583" s="14" t="s">
        <v>1296</v>
      </c>
      <c r="C583" s="16" t="s">
        <v>154</v>
      </c>
      <c r="D583" s="36" t="str">
        <f t="shared" si="9"/>
        <v>INSERT INTO SkillAttribute(code, title) 
SELECT 'D422', 'Compreender o conceito de projetos colaborativos.' 
WHERE NOT EXISTS (SELECT 1 FROM SkillAttribute WHERE code = 'D422') 
AND SCHEMA() IN ('alura', 'aluraproduction');
SET @skill_attribute_D422_id = (SELECT id FROM SkillAttribute WHERE code = 'D422');
INSERT INTO Skill_SkillAttribute(skill_id, skill_attribute_id) 
SELECT @skill_EM13CO18_id, @skill_attribute_D422_id WHERE SCHEMA() IN ('alura', 'aluraproduction');</v>
      </c>
    </row>
    <row r="584" spans="1:4" ht="15" customHeight="1">
      <c r="A584" s="19" t="s">
        <v>1297</v>
      </c>
      <c r="B584" s="14" t="s">
        <v>1298</v>
      </c>
      <c r="C584" s="16" t="s">
        <v>154</v>
      </c>
      <c r="D584" s="36" t="str">
        <f t="shared" si="9"/>
        <v>INSERT INTO SkillAttribute(code, title) 
SELECT 'D423', 'Compreender formas de planejamento de projetos colaborativos.' 
WHERE NOT EXISTS (SELECT 1 FROM SkillAttribute WHERE code = 'D423') 
AND SCHEMA() IN ('alura', 'aluraproduction');
SET @skill_attribute_D423_id = (SELECT id FROM SkillAttribute WHERE code = 'D423');
INSERT INTO Skill_SkillAttribute(skill_id, skill_attribute_id) 
SELECT @skill_EM13CO18_id, @skill_attribute_D423_id WHERE SCHEMA() IN ('alura', 'aluraproduction');</v>
      </c>
    </row>
    <row r="585" spans="1:4" ht="15" customHeight="1">
      <c r="A585" s="19" t="s">
        <v>1299</v>
      </c>
      <c r="B585" s="14" t="s">
        <v>1300</v>
      </c>
      <c r="C585" s="16" t="s">
        <v>154</v>
      </c>
      <c r="D585" s="36" t="str">
        <f t="shared" si="9"/>
        <v>INSERT INTO SkillAttribute(code, title) 
SELECT 'D424', 'Analisar planejamentos de projetos colaborativos.' 
WHERE NOT EXISTS (SELECT 1 FROM SkillAttribute WHERE code = 'D424') 
AND SCHEMA() IN ('alura', 'aluraproduction');
SET @skill_attribute_D424_id = (SELECT id FROM SkillAttribute WHERE code = 'D424');
INSERT INTO Skill_SkillAttribute(skill_id, skill_attribute_id) 
SELECT @skill_EM13CO18_id, @skill_attribute_D424_id WHERE SCHEMA() IN ('alura', 'aluraproduction');</v>
      </c>
    </row>
    <row r="586" spans="1:4" ht="15" customHeight="1">
      <c r="A586" s="19" t="s">
        <v>1301</v>
      </c>
      <c r="B586" s="14" t="s">
        <v>1302</v>
      </c>
      <c r="C586" s="16" t="s">
        <v>154</v>
      </c>
      <c r="D586" s="36" t="str">
        <f t="shared" si="9"/>
        <v>INSERT INTO SkillAttribute(code, title) 
SELECT 'D425', 'Compreender formas de gerenciamento de projetos colaborativos.' 
WHERE NOT EXISTS (SELECT 1 FROM SkillAttribute WHERE code = 'D425') 
AND SCHEMA() IN ('alura', 'aluraproduction');
SET @skill_attribute_D425_id = (SELECT id FROM SkillAttribute WHERE code = 'D425');
INSERT INTO Skill_SkillAttribute(skill_id, skill_attribute_id) 
SELECT @skill_EM13CO18_id, @skill_attribute_D425_id WHERE SCHEMA() IN ('alura', 'aluraproduction');</v>
      </c>
    </row>
    <row r="587" spans="1:4" ht="15" customHeight="1">
      <c r="A587" s="19" t="s">
        <v>1303</v>
      </c>
      <c r="B587" s="14" t="s">
        <v>1304</v>
      </c>
      <c r="C587" s="16" t="s">
        <v>154</v>
      </c>
      <c r="D587" s="36" t="str">
        <f t="shared" si="9"/>
        <v>INSERT INTO SkillAttribute(code, title) 
SELECT 'D426', 'Analisar estratégias de gerenciamento em projetos colaborativos.' 
WHERE NOT EXISTS (SELECT 1 FROM SkillAttribute WHERE code = 'D426') 
AND SCHEMA() IN ('alura', 'aluraproduction');
SET @skill_attribute_D426_id = (SELECT id FROM SkillAttribute WHERE code = 'D426');
INSERT INTO Skill_SkillAttribute(skill_id, skill_attribute_id) 
SELECT @skill_EM13CO18_id, @skill_attribute_D426_id WHERE SCHEMA() IN ('alura', 'aluraproduction');</v>
      </c>
    </row>
    <row r="588" spans="1:4" ht="15" customHeight="1">
      <c r="A588" s="19" t="s">
        <v>1305</v>
      </c>
      <c r="B588" s="14" t="s">
        <v>1306</v>
      </c>
      <c r="C588" s="16" t="s">
        <v>154</v>
      </c>
      <c r="D588" s="36" t="str">
        <f t="shared" si="9"/>
        <v>INSERT INTO SkillAttribute(code, title) 
SELECT 'D427', 'Identificar soluções de problemas em projetos colaborativos.' 
WHERE NOT EXISTS (SELECT 1 FROM SkillAttribute WHERE code = 'D427') 
AND SCHEMA() IN ('alura', 'aluraproduction');
SET @skill_attribute_D427_id = (SELECT id FROM SkillAttribute WHERE code = 'D427');
INSERT INTO Skill_SkillAttribute(skill_id, skill_attribute_id) 
SELECT @skill_EM13CO18_id, @skill_attribute_D427_id WHERE SCHEMA() IN ('alura', 'aluraproduction');</v>
      </c>
    </row>
    <row r="589" spans="1:4" ht="15" customHeight="1">
      <c r="A589" s="19" t="s">
        <v>1307</v>
      </c>
      <c r="B589" s="14" t="s">
        <v>1308</v>
      </c>
      <c r="C589" s="16" t="s">
        <v>154</v>
      </c>
      <c r="D589" s="36" t="str">
        <f t="shared" si="9"/>
        <v>INSERT INTO SkillAttribute(code, title) 
SELECT 'D428', 'Analisar soluções de problemas aplicadas em projetos colaborativos.' 
WHERE NOT EXISTS (SELECT 1 FROM SkillAttribute WHERE code = 'D428') 
AND SCHEMA() IN ('alura', 'aluraproduction');
SET @skill_attribute_D428_id = (SELECT id FROM SkillAttribute WHERE code = 'D428');
INSERT INTO Skill_SkillAttribute(skill_id, skill_attribute_id) 
SELECT @skill_EM13CO18_id, @skill_attribute_D428_id WHERE SCHEMA() IN ('alura', 'aluraproduction');</v>
      </c>
    </row>
    <row r="590" spans="1:4" ht="15" customHeight="1">
      <c r="A590" s="19" t="s">
        <v>1309</v>
      </c>
      <c r="B590" s="14" t="s">
        <v>1310</v>
      </c>
      <c r="C590" s="16" t="s">
        <v>154</v>
      </c>
      <c r="D590" s="36" t="str">
        <f t="shared" si="9"/>
        <v>INSERT INTO SkillAttribute(code, title) 
SELECT 'D429', 'Identificar diferentes artefatos computacionais.' 
WHERE NOT EXISTS (SELECT 1 FROM SkillAttribute WHERE code = 'D429') 
AND SCHEMA() IN ('alura', 'aluraproduction');
SET @skill_attribute_D429_id = (SELECT id FROM SkillAttribute WHERE code = 'D429');
INSERT INTO Skill_SkillAttribute(skill_id, skill_attribute_id) 
SELECT @skill_EM13CO18_id, @skill_attribute_D429_id WHERE SCHEMA() IN ('alura', 'aluraproduction');</v>
      </c>
    </row>
    <row r="591" spans="1:4" ht="15" customHeight="1">
      <c r="A591" s="19" t="s">
        <v>1311</v>
      </c>
      <c r="B591" s="14" t="s">
        <v>1312</v>
      </c>
      <c r="C591" s="16" t="s">
        <v>154</v>
      </c>
      <c r="D591" s="36" t="str">
        <f t="shared" si="9"/>
        <v>INSERT INTO SkillAttribute(code, title) 
SELECT 'D430', 'Compreender o uso de artefatos computacionais na solução de problemas em projetos colaborativos.' 
WHERE NOT EXISTS (SELECT 1 FROM SkillAttribute WHERE code = 'D430') 
AND SCHEMA() IN ('alura', 'aluraproduction');
SET @skill_attribute_D430_id = (SELECT id FROM SkillAttribute WHERE code = 'D430');
INSERT INTO Skill_SkillAttribute(skill_id, skill_attribute_id) 
SELECT @skill_EM13CO18_id, @skill_attribute_D430_id WHERE SCHEMA() IN ('alura', 'aluraproduction');</v>
      </c>
    </row>
    <row r="592" spans="1:4" ht="15" customHeight="1">
      <c r="A592" s="19" t="s">
        <v>1313</v>
      </c>
      <c r="B592" s="14" t="s">
        <v>1314</v>
      </c>
      <c r="C592" s="16" t="s">
        <v>154</v>
      </c>
      <c r="D592" s="36" t="str">
        <f t="shared" si="9"/>
        <v>INSERT INTO SkillAttribute(code, title) 
SELECT 'D431', 'Analisar como artefatos computacionais são utilizados na solução de problemas em projetos colaborativos.' 
WHERE NOT EXISTS (SELECT 1 FROM SkillAttribute WHERE code = 'D431') 
AND SCHEMA() IN ('alura', 'aluraproduction');
SET @skill_attribute_D431_id = (SELECT id FROM SkillAttribute WHERE code = 'D431');
INSERT INTO Skill_SkillAttribute(skill_id, skill_attribute_id) 
SELECT @skill_EM13CO18_id, @skill_attribute_D431_id WHERE SCHEMA() IN ('alura', 'aluraproduction');</v>
      </c>
    </row>
    <row r="593" spans="1:4" ht="15" customHeight="1">
      <c r="A593" s="19" t="s">
        <v>1315</v>
      </c>
      <c r="B593" s="14" t="s">
        <v>1316</v>
      </c>
      <c r="C593" s="16" t="s">
        <v>154</v>
      </c>
      <c r="D593" s="36" t="str">
        <f t="shared" si="9"/>
        <v>INSERT INTO SkillAttribute(code, title) 
SELECT 'D432', 'Relacionar artefatos computacionais a tipos de problemas enfrentados em projetos colaborativos.' 
WHERE NOT EXISTS (SELECT 1 FROM SkillAttribute WHERE code = 'D432') 
AND SCHEMA() IN ('alura', 'aluraproduction');
SET @skill_attribute_D432_id = (SELECT id FROM SkillAttribute WHERE code = 'D432');
INSERT INTO Skill_SkillAttribute(skill_id, skill_attribute_id) 
SELECT @skill_EM13CO18_id, @skill_attribute_D432_id WHERE SCHEMA() IN ('alura', 'aluraproduction');</v>
      </c>
    </row>
    <row r="594" spans="1:4" ht="15" customHeight="1">
      <c r="A594" s="19" t="s">
        <v>1317</v>
      </c>
      <c r="B594" s="14" t="s">
        <v>1318</v>
      </c>
      <c r="C594" s="16" t="s">
        <v>156</v>
      </c>
      <c r="D594" s="36" t="str">
        <f t="shared" si="9"/>
        <v>INSERT INTO SkillAttribute(code, title) 
SELECT 'D433', 'Reconhecer formas de exposição de propostas, produtos ou serviços em mídias digitais.' 
WHERE NOT EXISTS (SELECT 1 FROM SkillAttribute WHERE code = 'D433') 
AND SCHEMA() IN ('alura', 'aluraproduction');
SET @skill_attribute_D433_id = (SELECT id FROM SkillAttribute WHERE code = 'D433');
INSERT INTO Skill_SkillAttribute(skill_id, skill_attribute_id) 
SELECT @skill_EM13CO19_id, @skill_attribute_D433_id WHERE SCHEMA() IN ('alura', 'aluraproduction');</v>
      </c>
    </row>
    <row r="595" spans="1:4" ht="15" customHeight="1">
      <c r="A595" s="19" t="s">
        <v>1319</v>
      </c>
      <c r="B595" s="14" t="s">
        <v>1320</v>
      </c>
      <c r="C595" s="16" t="s">
        <v>156</v>
      </c>
      <c r="D595" s="36" t="str">
        <f t="shared" si="9"/>
        <v>INSERT INTO SkillAttribute(code, title) 
SELECT 'D434', 'Identificar elementos estruturais de objetos digitais utilizados na exposição de propostas, produtos ou serviços.' 
WHERE NOT EXISTS (SELECT 1 FROM SkillAttribute WHERE code = 'D434') 
AND SCHEMA() IN ('alura', 'aluraproduction');
SET @skill_attribute_D434_id = (SELECT id FROM SkillAttribute WHERE code = 'D434');
INSERT INTO Skill_SkillAttribute(skill_id, skill_attribute_id) 
SELECT @skill_EM13CO19_id, @skill_attribute_D434_id WHERE SCHEMA() IN ('alura', 'aluraproduction');</v>
      </c>
    </row>
    <row r="596" spans="1:4" ht="15" customHeight="1">
      <c r="A596" s="19" t="s">
        <v>1321</v>
      </c>
      <c r="B596" s="14" t="s">
        <v>1322</v>
      </c>
      <c r="C596" s="16" t="s">
        <v>156</v>
      </c>
      <c r="D596" s="36" t="str">
        <f t="shared" si="9"/>
        <v>INSERT INTO SkillAttribute(code, title) 
SELECT 'D435', 'Compreender estratégias de argumentação em contextos digitais.' 
WHERE NOT EXISTS (SELECT 1 FROM SkillAttribute WHERE code = 'D435') 
AND SCHEMA() IN ('alura', 'aluraproduction');
SET @skill_attribute_D435_id = (SELECT id FROM SkillAttribute WHERE code = 'D435');
INSERT INTO Skill_SkillAttribute(skill_id, skill_attribute_id) 
SELECT @skill_EM13CO19_id, @skill_attribute_D435_id WHERE SCHEMA() IN ('alura', 'aluraproduction');</v>
      </c>
    </row>
    <row r="597" spans="1:4" ht="15" customHeight="1">
      <c r="A597" s="19" t="s">
        <v>1323</v>
      </c>
      <c r="B597" s="14" t="s">
        <v>1324</v>
      </c>
      <c r="C597" s="16" t="s">
        <v>156</v>
      </c>
      <c r="D597" s="36" t="str">
        <f t="shared" si="9"/>
        <v>INSERT INTO SkillAttribute(code, title) 
SELECT 'D436', 'Analisar como objetos digitais são utilizados para apoiar argumentos em contextos digitais.' 
WHERE NOT EXISTS (SELECT 1 FROM SkillAttribute WHERE code = 'D436') 
AND SCHEMA() IN ('alura', 'aluraproduction');
SET @skill_attribute_D436_id = (SELECT id FROM SkillAttribute WHERE code = 'D436');
INSERT INTO Skill_SkillAttribute(skill_id, skill_attribute_id) 
SELECT @skill_EM13CO19_id, @skill_attribute_D436_id WHERE SCHEMA() IN ('alura', 'aluraproduction');</v>
      </c>
    </row>
    <row r="598" spans="1:4" ht="15" customHeight="1">
      <c r="A598" s="19" t="s">
        <v>1325</v>
      </c>
      <c r="B598" s="14" t="s">
        <v>1326</v>
      </c>
      <c r="C598" s="16" t="s">
        <v>156</v>
      </c>
      <c r="D598" s="36" t="str">
        <f t="shared" si="9"/>
        <v>INSERT INTO SkillAttribute(code, title) 
SELECT 'D437', 'Compreender práticas de negociação em ambientes mediados por tecnologias digitais.' 
WHERE NOT EXISTS (SELECT 1 FROM SkillAttribute WHERE code = 'D437') 
AND SCHEMA() IN ('alura', 'aluraproduction');
SET @skill_attribute_D437_id = (SELECT id FROM SkillAttribute WHERE code = 'D437');
INSERT INTO Skill_SkillAttribute(skill_id, skill_attribute_id) 
SELECT @skill_EM13CO19_id, @skill_attribute_D437_id WHERE SCHEMA() IN ('alura', 'aluraproduction');</v>
      </c>
    </row>
    <row r="599" spans="1:4" ht="15" customHeight="1">
      <c r="A599" s="19" t="s">
        <v>1327</v>
      </c>
      <c r="B599" s="14" t="s">
        <v>1328</v>
      </c>
      <c r="C599" s="16" t="s">
        <v>156</v>
      </c>
      <c r="D599" s="36" t="str">
        <f t="shared" si="9"/>
        <v>INSERT INTO SkillAttribute(code, title) 
SELECT 'D438', 'Analisar como ferramentas digitais contribuem para a mediação de negociações.' 
WHERE NOT EXISTS (SELECT 1 FROM SkillAttribute WHERE code = 'D438') 
AND SCHEMA() IN ('alura', 'aluraproduction');
SET @skill_attribute_D438_id = (SELECT id FROM SkillAttribute WHERE code = 'D438');
INSERT INTO Skill_SkillAttribute(skill_id, skill_attribute_id) 
SELECT @skill_EM13CO19_id, @skill_attribute_D438_id WHERE SCHEMA() IN ('alura', 'aluraproduction');</v>
      </c>
    </row>
    <row r="600" spans="1:4" ht="15" customHeight="1">
      <c r="A600" s="19" t="s">
        <v>1329</v>
      </c>
      <c r="B600" s="14" t="s">
        <v>1330</v>
      </c>
      <c r="C600" s="16" t="s">
        <v>156</v>
      </c>
      <c r="D600" s="36" t="str">
        <f t="shared" si="9"/>
        <v>INSERT INTO SkillAttribute(code, title) 
SELECT 'D439', 'Identificar mídias e ferramentas digitais utilizadas na comunicação de propostas, produtos ou serviços.' 
WHERE NOT EXISTS (SELECT 1 FROM SkillAttribute WHERE code = 'D439') 
AND SCHEMA() IN ('alura', 'aluraproduction');
SET @skill_attribute_D439_id = (SELECT id FROM SkillAttribute WHERE code = 'D439');
INSERT INTO Skill_SkillAttribute(skill_id, skill_attribute_id) 
SELECT @skill_EM13CO19_id, @skill_attribute_D439_id WHERE SCHEMA() IN ('alura', 'aluraproduction');</v>
      </c>
    </row>
    <row r="601" spans="1:4" ht="15" customHeight="1">
      <c r="A601" s="19" t="s">
        <v>1331</v>
      </c>
      <c r="B601" s="14" t="s">
        <v>1332</v>
      </c>
      <c r="C601" s="16" t="s">
        <v>156</v>
      </c>
      <c r="D601" s="36" t="str">
        <f t="shared" si="9"/>
        <v>INSERT INTO SkillAttribute(code, title) 
SELECT 'D440', 'Relacionar a escolha de mídias digitais ao tipo de proposta, produto ou serviço a ser comunicado.' 
WHERE NOT EXISTS (SELECT 1 FROM SkillAttribute WHERE code = 'D440') 
AND SCHEMA() IN ('alura', 'aluraproduction');
SET @skill_attribute_D440_id = (SELECT id FROM SkillAttribute WHERE code = 'D440');
INSERT INTO Skill_SkillAttribute(skill_id, skill_attribute_id) 
SELECT @skill_EM13CO19_id, @skill_attribute_D440_id WHERE SCHEMA() IN ('alura', 'aluraproduction');</v>
      </c>
    </row>
    <row r="602" spans="1:4" ht="15" customHeight="1">
      <c r="A602" s="19" t="s">
        <v>1333</v>
      </c>
      <c r="B602" s="14" t="s">
        <v>1334</v>
      </c>
      <c r="C602" s="16" t="s">
        <v>158</v>
      </c>
      <c r="D602" s="36" t="str">
        <f t="shared" si="9"/>
        <v>INSERT INTO SkillAttribute(code, title) 
SELECT 'D441', 'Reconhecer formas de criação e publicação de conteúdo em ambientes virtuais.' 
WHERE NOT EXISTS (SELECT 1 FROM SkillAttribute WHERE code = 'D441') 
AND SCHEMA() IN ('alura', 'aluraproduction');
SET @skill_attribute_D441_id = (SELECT id FROM SkillAttribute WHERE code = 'D441');
INSERT INTO Skill_SkillAttribute(skill_id, skill_attribute_id) 
SELECT @skill_EM13CO20_id, @skill_attribute_D441_id WHERE SCHEMA() IN ('alura', 'aluraproduction');</v>
      </c>
    </row>
    <row r="603" spans="1:4" ht="15" customHeight="1">
      <c r="A603" s="19" t="s">
        <v>1335</v>
      </c>
      <c r="B603" s="14" t="s">
        <v>1336</v>
      </c>
      <c r="C603" s="16" t="s">
        <v>158</v>
      </c>
      <c r="D603" s="36" t="str">
        <f t="shared" si="9"/>
        <v>INSERT INTO SkillAttribute(code, title) 
SELECT 'D442', 'Compreender formas de disponibilização de conteúdo em ambientes virtuais.' 
WHERE NOT EXISTS (SELECT 1 FROM SkillAttribute WHERE code = 'D442') 
AND SCHEMA() IN ('alura', 'aluraproduction');
SET @skill_attribute_D442_id = (SELECT id FROM SkillAttribute WHERE code = 'D442');
INSERT INTO Skill_SkillAttribute(skill_id, skill_attribute_id) 
SELECT @skill_EM13CO20_id, @skill_attribute_D442_id WHERE SCHEMA() IN ('alura', 'aluraproduction');</v>
      </c>
    </row>
    <row r="604" spans="1:4" ht="15" customHeight="1">
      <c r="A604" s="19" t="s">
        <v>1337</v>
      </c>
      <c r="B604" s="14" t="s">
        <v>1338</v>
      </c>
      <c r="C604" s="16" t="s">
        <v>158</v>
      </c>
      <c r="D604" s="36" t="str">
        <f t="shared" si="9"/>
        <v>INSERT INTO SkillAttribute(code, title) 
SELECT 'D443', 'Identificar formas de compartilhamento de conteúdos em diferentes plataformas digitais.' 
WHERE NOT EXISTS (SELECT 1 FROM SkillAttribute WHERE code = 'D443') 
AND SCHEMA() IN ('alura', 'aluraproduction');
SET @skill_attribute_D443_id = (SELECT id FROM SkillAttribute WHERE code = 'D443');
INSERT INTO Skill_SkillAttribute(skill_id, skill_attribute_id) 
SELECT @skill_EM13CO20_id, @skill_attribute_D443_id WHERE SCHEMA() IN ('alura', 'aluraproduction');</v>
      </c>
    </row>
    <row r="605" spans="1:4" ht="15" customHeight="1">
      <c r="A605" s="19" t="s">
        <v>1339</v>
      </c>
      <c r="B605" s="14" t="s">
        <v>1340</v>
      </c>
      <c r="C605" s="16" t="s">
        <v>158</v>
      </c>
      <c r="D605" s="36" t="str">
        <f t="shared" si="9"/>
        <v>INSERT INTO SkillAttribute(code, title) 
SELECT 'D444', 'Analisar a circulação de informações em ambientes digitais.' 
WHERE NOT EXISTS (SELECT 1 FROM SkillAttribute WHERE code = 'D444') 
AND SCHEMA() IN ('alura', 'aluraproduction');
SET @skill_attribute_D444_id = (SELECT id FROM SkillAttribute WHERE code = 'D444');
INSERT INTO Skill_SkillAttribute(skill_id, skill_attribute_id) 
SELECT @skill_EM13CO20_id, @skill_attribute_D444_id WHERE SCHEMA() IN ('alura', 'aluraproduction');</v>
      </c>
    </row>
    <row r="606" spans="1:4" ht="15" customHeight="1">
      <c r="A606" s="19" t="s">
        <v>1341</v>
      </c>
      <c r="B606" s="14" t="s">
        <v>1342</v>
      </c>
      <c r="C606" s="16" t="s">
        <v>158</v>
      </c>
      <c r="D606" s="36" t="str">
        <f t="shared" si="9"/>
        <v>INSERT INTO SkillAttribute(code, title) 
SELECT 'D445', 'Reconhecer critérios para avaliar a confiabilidade de informações em ambientes digitais.' 
WHERE NOT EXISTS (SELECT 1 FROM SkillAttribute WHERE code = 'D445') 
AND SCHEMA() IN ('alura', 'aluraproduction');
SET @skill_attribute_D445_id = (SELECT id FROM SkillAttribute WHERE code = 'D445');
INSERT INTO Skill_SkillAttribute(skill_id, skill_attribute_id) 
SELECT @skill_EM13CO20_id, @skill_attribute_D445_id WHERE SCHEMA() IN ('alura', 'aluraproduction');</v>
      </c>
    </row>
    <row r="607" spans="1:4" ht="15" customHeight="1">
      <c r="A607" s="19" t="s">
        <v>1343</v>
      </c>
      <c r="B607" s="14" t="s">
        <v>1344</v>
      </c>
      <c r="C607" s="16" t="s">
        <v>158</v>
      </c>
      <c r="D607" s="36" t="str">
        <f t="shared" si="9"/>
        <v>INSERT INTO SkillAttribute(code, title) 
SELECT 'D446', 'Compreender as consequências da disseminação de informações não confiáveis.' 
WHERE NOT EXISTS (SELECT 1 FROM SkillAttribute WHERE code = 'D446') 
AND SCHEMA() IN ('alura', 'aluraproduction');
SET @skill_attribute_D446_id = (SELECT id FROM SkillAttribute WHERE code = 'D446');
INSERT INTO Skill_SkillAttribute(skill_id, skill_attribute_id) 
SELECT @skill_EM13CO20_id, @skill_attribute_D446_id WHERE SCHEMA() IN ('alura', 'aluraproduction');</v>
      </c>
    </row>
    <row r="608" spans="1:4" ht="15" customHeight="1">
      <c r="A608" s="19" t="s">
        <v>1345</v>
      </c>
      <c r="B608" s="14" t="s">
        <v>1346</v>
      </c>
      <c r="C608" s="16" t="s">
        <v>158</v>
      </c>
      <c r="D608" s="36" t="str">
        <f t="shared" si="9"/>
        <v>INSERT INTO SkillAttribute(code, title) 
SELECT 'D447', 'Analisar o impacto do compartilhamento de conteúdos digitais sobre indivíduos e comunidades.' 
WHERE NOT EXISTS (SELECT 1 FROM SkillAttribute WHERE code = 'D447') 
AND SCHEMA() IN ('alura', 'aluraproduction');
SET @skill_attribute_D447_id = (SELECT id FROM SkillAttribute WHERE code = 'D447');
INSERT INTO Skill_SkillAttribute(skill_id, skill_attribute_id) 
SELECT @skill_EM13CO20_id, @skill_attribute_D447_id WHERE SCHEMA() IN ('alura', 'aluraproduction');</v>
      </c>
    </row>
    <row r="609" spans="1:4" ht="15" customHeight="1">
      <c r="A609" s="19" t="s">
        <v>1347</v>
      </c>
      <c r="B609" s="14" t="s">
        <v>1348</v>
      </c>
      <c r="C609" s="16" t="s">
        <v>158</v>
      </c>
      <c r="D609" s="36" t="str">
        <f t="shared" si="9"/>
        <v>INSERT INTO SkillAttribute(code, title) 
SELECT 'D448', 'Relacionar a confiabilidade de um conteúdo às possíveis consequências de sua disseminação.' 
WHERE NOT EXISTS (SELECT 1 FROM SkillAttribute WHERE code = 'D448') 
AND SCHEMA() IN ('alura', 'aluraproduction');
SET @skill_attribute_D448_id = (SELECT id FROM SkillAttribute WHERE code = 'D448');
INSERT INTO Skill_SkillAttribute(skill_id, skill_attribute_id) 
SELECT @skill_EM13CO20_id, @skill_attribute_D448_id WHERE SCHEMA() IN ('alura', 'aluraproduction');</v>
      </c>
    </row>
    <row r="610" spans="1:4" ht="15" customHeight="1">
      <c r="A610" s="22" t="s">
        <v>1349</v>
      </c>
      <c r="B610" s="14" t="s">
        <v>1350</v>
      </c>
      <c r="C610" s="16" t="s">
        <v>160</v>
      </c>
      <c r="D610" s="36" t="str">
        <f t="shared" si="9"/>
        <v>INSERT INTO SkillAttribute(code, title) 
SELECT 'D449', 'Reconhecer formas de comunicar ideias complexas em meio digital.' 
WHERE NOT EXISTS (SELECT 1 FROM SkillAttribute WHERE code = 'D449') 
AND SCHEMA() IN ('alura', 'aluraproduction');
SET @skill_attribute_D449_id = (SELECT id FROM SkillAttribute WHERE code = 'D449');
INSERT INTO Skill_SkillAttribute(skill_id, skill_attribute_id) 
SELECT @skill_EM13CO21_id, @skill_attribute_D449_id WHERE SCHEMA() IN ('alura', 'aluraproduction');</v>
      </c>
    </row>
    <row r="611" spans="1:4" ht="15" customHeight="1">
      <c r="A611" s="22" t="s">
        <v>1351</v>
      </c>
      <c r="B611" s="14" t="s">
        <v>1352</v>
      </c>
      <c r="C611" s="16" t="s">
        <v>160</v>
      </c>
      <c r="D611" s="36" t="str">
        <f t="shared" si="9"/>
        <v>INSERT INTO SkillAttribute(code, title) 
SELECT 'D450', 'Analisar estratégias de comunicação de ideias complexas em objetos digitais.' 
WHERE NOT EXISTS (SELECT 1 FROM SkillAttribute WHERE code = 'D450') 
AND SCHEMA() IN ('alura', 'aluraproduction');
SET @skill_attribute_D450_id = (SELECT id FROM SkillAttribute WHERE code = 'D450');
INSERT INTO Skill_SkillAttribute(skill_id, skill_attribute_id) 
SELECT @skill_EM13CO21_id, @skill_attribute_D450_id WHERE SCHEMA() IN ('alura', 'aluraproduction');</v>
      </c>
    </row>
    <row r="612" spans="1:4" ht="15" customHeight="1">
      <c r="A612" s="22" t="s">
        <v>1353</v>
      </c>
      <c r="B612" s="14" t="s">
        <v>1354</v>
      </c>
      <c r="C612" s="16" t="s">
        <v>160</v>
      </c>
      <c r="D612" s="36" t="str">
        <f t="shared" si="9"/>
        <v>INSERT INTO SkillAttribute(code, title) 
SELECT 'D451', 'Reconhecer objetos digitais utilizados na comunicação de ideias.' 
WHERE NOT EXISTS (SELECT 1 FROM SkillAttribute WHERE code = 'D451') 
AND SCHEMA() IN ('alura', 'aluraproduction');
SET @skill_attribute_D451_id = (SELECT id FROM SkillAttribute WHERE code = 'D451');
INSERT INTO Skill_SkillAttribute(skill_id, skill_attribute_id) 
SELECT @skill_EM13CO21_id, @skill_attribute_D451_id WHERE SCHEMA() IN ('alura', 'aluraproduction');</v>
      </c>
    </row>
    <row r="613" spans="1:4" ht="15" customHeight="1">
      <c r="A613" s="22" t="s">
        <v>1355</v>
      </c>
      <c r="B613" s="14" t="s">
        <v>1356</v>
      </c>
      <c r="C613" s="16" t="s">
        <v>160</v>
      </c>
      <c r="D613" s="36" t="str">
        <f t="shared" si="9"/>
        <v>INSERT INTO SkillAttribute(code, title) 
SELECT 'D452', 'Identificar características de objetos digitais utilizados na comunicação de ideias.' 
WHERE NOT EXISTS (SELECT 1 FROM SkillAttribute WHERE code = 'D452') 
AND SCHEMA() IN ('alura', 'aluraproduction');
SET @skill_attribute_D452_id = (SELECT id FROM SkillAttribute WHERE code = 'D452');
INSERT INTO Skill_SkillAttribute(skill_id, skill_attribute_id) 
SELECT @skill_EM13CO21_id, @skill_attribute_D452_id WHERE SCHEMA() IN ('alura', 'aluraproduction');</v>
      </c>
    </row>
    <row r="614" spans="1:4" ht="15" customHeight="1">
      <c r="A614" s="22" t="s">
        <v>1357</v>
      </c>
      <c r="B614" s="14" t="s">
        <v>1358</v>
      </c>
      <c r="C614" s="16" t="s">
        <v>160</v>
      </c>
      <c r="D614" s="36" t="str">
        <f t="shared" si="9"/>
        <v>INSERT INTO SkillAttribute(code, title) 
SELECT 'D453', 'Compreender como objetos digitais organizam ideias complexas.' 
WHERE NOT EXISTS (SELECT 1 FROM SkillAttribute WHERE code = 'D453') 
AND SCHEMA() IN ('alura', 'aluraproduction');
SET @skill_attribute_D453_id = (SELECT id FROM SkillAttribute WHERE code = 'D453');
INSERT INTO Skill_SkillAttribute(skill_id, skill_attribute_id) 
SELECT @skill_EM13CO21_id, @skill_attribute_D453_id WHERE SCHEMA() IN ('alura', 'aluraproduction');</v>
      </c>
    </row>
    <row r="615" spans="1:4" ht="15" customHeight="1">
      <c r="A615" s="22" t="s">
        <v>1359</v>
      </c>
      <c r="B615" s="14" t="s">
        <v>1360</v>
      </c>
      <c r="C615" s="16" t="s">
        <v>160</v>
      </c>
      <c r="D615" s="36" t="str">
        <f t="shared" si="9"/>
        <v>INSERT INTO SkillAttribute(code, title) 
SELECT 'D454', 'Analisar o uso de objetos digitais na comunicação de ideias complexas.' 
WHERE NOT EXISTS (SELECT 1 FROM SkillAttribute WHERE code = 'D454') 
AND SCHEMA() IN ('alura', 'aluraproduction');
SET @skill_attribute_D454_id = (SELECT id FROM SkillAttribute WHERE code = 'D454');
INSERT INTO Skill_SkillAttribute(skill_id, skill_attribute_id) 
SELECT @skill_EM13CO21_id, @skill_attribute_D454_id WHERE SCHEMA() IN ('alura', 'aluraproduction');</v>
      </c>
    </row>
    <row r="616" spans="1:4" ht="15" customHeight="1">
      <c r="A616" s="22" t="s">
        <v>1361</v>
      </c>
      <c r="B616" s="14" t="s">
        <v>1362</v>
      </c>
      <c r="C616" s="16" t="s">
        <v>160</v>
      </c>
      <c r="D616" s="36" t="str">
        <f t="shared" si="9"/>
        <v>INSERT INTO SkillAttribute(code, title) 
SELECT 'D455', 'Relacionar tipos de ideias complexas a objetos digitais adequados para sua comunicação.' 
WHERE NOT EXISTS (SELECT 1 FROM SkillAttribute WHERE code = 'D455') 
AND SCHEMA() IN ('alura', 'aluraproduction');
SET @skill_attribute_D455_id = (SELECT id FROM SkillAttribute WHERE code = 'D455');
INSERT INTO Skill_SkillAttribute(skill_id, skill_attribute_id) 
SELECT @skill_EM13CO21_id, @skill_attribute_D455_id WHERE SCHEMA() IN ('alura', 'aluraproduction');</v>
      </c>
    </row>
    <row r="617" spans="1:4" ht="15" customHeight="1">
      <c r="A617" s="22" t="s">
        <v>1363</v>
      </c>
      <c r="B617" s="14" t="s">
        <v>1364</v>
      </c>
      <c r="C617" s="16" t="s">
        <v>162</v>
      </c>
      <c r="D617" s="36" t="str">
        <f t="shared" si="9"/>
        <v>INSERT INTO SkillAttribute(code, title) 
SELECT 'D456', 'Reconhecer diferentes mídias digitais.' 
WHERE NOT EXISTS (SELECT 1 FROM SkillAttribute WHERE code = 'D456') 
AND SCHEMA() IN ('alura', 'aluraproduction');
SET @skill_attribute_D456_id = (SELECT id FROM SkillAttribute WHERE code = 'D456');
INSERT INTO Skill_SkillAttribute(skill_id, skill_attribute_id) 
SELECT @skill_EM13CO22_id, @skill_attribute_D456_id WHERE SCHEMA() IN ('alura', 'aluraproduction');</v>
      </c>
    </row>
    <row r="618" spans="1:4" ht="15" customHeight="1">
      <c r="A618" s="22" t="s">
        <v>1365</v>
      </c>
      <c r="B618" s="14" t="s">
        <v>1366</v>
      </c>
      <c r="C618" s="16" t="s">
        <v>162</v>
      </c>
      <c r="D618" s="36" t="str">
        <f t="shared" si="9"/>
        <v>INSERT INTO SkillAttribute(code, title) 
SELECT 'D457', 'Compreender as possibilidades de uso de diferentes mídias digitais.' 
WHERE NOT EXISTS (SELECT 1 FROM SkillAttribute WHERE code = 'D457') 
AND SCHEMA() IN ('alura', 'aluraproduction');
SET @skill_attribute_D457_id = (SELECT id FROM SkillAttribute WHERE code = 'D457');
INSERT INTO Skill_SkillAttribute(skill_id, skill_attribute_id) 
SELECT @skill_EM13CO22_id, @skill_attribute_D457_id WHERE SCHEMA() IN ('alura', 'aluraproduction');</v>
      </c>
    </row>
    <row r="619" spans="1:4" ht="15" customHeight="1">
      <c r="A619" s="22" t="s">
        <v>1367</v>
      </c>
      <c r="B619" s="14" t="s">
        <v>1368</v>
      </c>
      <c r="C619" s="16" t="s">
        <v>162</v>
      </c>
      <c r="D619" s="36" t="str">
        <f t="shared" si="9"/>
        <v>INSERT INTO SkillAttribute(code, title) 
SELECT 'D458', 'Analisar o uso de diferentes mídias digitais.' 
WHERE NOT EXISTS (SELECT 1 FROM SkillAttribute WHERE code = 'D458') 
AND SCHEMA() IN ('alura', 'aluraproduction');
SET @skill_attribute_D458_id = (SELECT id FROM SkillAttribute WHERE code = 'D458');
INSERT INTO Skill_SkillAttribute(skill_id, skill_attribute_id) 
SELECT @skill_EM13CO22_id, @skill_attribute_D458_id WHERE SCHEMA() IN ('alura', 'aluraproduction');</v>
      </c>
    </row>
    <row r="620" spans="1:4" ht="15" customHeight="1">
      <c r="A620" s="22" t="s">
        <v>1369</v>
      </c>
      <c r="B620" s="14" t="s">
        <v>1370</v>
      </c>
      <c r="C620" s="16" t="s">
        <v>162</v>
      </c>
      <c r="D620" s="36" t="str">
        <f t="shared" si="9"/>
        <v>INSERT INTO SkillAttribute(code, title) 
SELECT 'D459', 'Reconhecer formas de integração entre diferentes mídias digitais.' 
WHERE NOT EXISTS (SELECT 1 FROM SkillAttribute WHERE code = 'D459') 
AND SCHEMA() IN ('alura', 'aluraproduction');
SET @skill_attribute_D459_id = (SELECT id FROM SkillAttribute WHERE code = 'D459');
INSERT INTO Skill_SkillAttribute(skill_id, skill_attribute_id) 
SELECT @skill_EM13CO22_id, @skill_attribute_D459_id WHERE SCHEMA() IN ('alura', 'aluraproduction');</v>
      </c>
    </row>
    <row r="621" spans="1:4" ht="15" customHeight="1">
      <c r="A621" s="22" t="s">
        <v>1371</v>
      </c>
      <c r="B621" s="14" t="s">
        <v>1372</v>
      </c>
      <c r="C621" s="16" t="s">
        <v>162</v>
      </c>
      <c r="D621" s="36" t="str">
        <f t="shared" si="9"/>
        <v>INSERT INTO SkillAttribute(code, title) 
SELECT 'D460', 'Reconhecer formas de produção de conteúdo nas mídias digitais.' 
WHERE NOT EXISTS (SELECT 1 FROM SkillAttribute WHERE code = 'D460') 
AND SCHEMA() IN ('alura', 'aluraproduction');
SET @skill_attribute_D460_id = (SELECT id FROM SkillAttribute WHERE code = 'D460');
INSERT INTO Skill_SkillAttribute(skill_id, skill_attribute_id) 
SELECT @skill_EM13CO22_id, @skill_attribute_D460_id WHERE SCHEMA() IN ('alura', 'aluraproduction');</v>
      </c>
    </row>
    <row r="622" spans="1:4" ht="15" customHeight="1">
      <c r="A622" s="22" t="s">
        <v>1373</v>
      </c>
      <c r="B622" s="14" t="s">
        <v>1374</v>
      </c>
      <c r="C622" s="16" t="s">
        <v>162</v>
      </c>
      <c r="D622" s="36" t="str">
        <f t="shared" si="9"/>
        <v>INSERT INTO SkillAttribute(code, title) 
SELECT 'D461', 'Analisar formas de produção de conteúdo nas mídias digitais.' 
WHERE NOT EXISTS (SELECT 1 FROM SkillAttribute WHERE code = 'D461') 
AND SCHEMA() IN ('alura', 'aluraproduction');
SET @skill_attribute_D461_id = (SELECT id FROM SkillAttribute WHERE code = 'D461');
INSERT INTO Skill_SkillAttribute(skill_id, skill_attribute_id) 
SELECT @skill_EM13CO22_id, @skill_attribute_D461_id WHERE SCHEMA() IN ('alura', 'aluraproduction');</v>
      </c>
    </row>
    <row r="623" spans="1:4" ht="15" customHeight="1">
      <c r="A623" s="22" t="s">
        <v>1375</v>
      </c>
      <c r="B623" s="14" t="s">
        <v>1376</v>
      </c>
      <c r="C623" s="16" t="s">
        <v>162</v>
      </c>
      <c r="D623" s="36" t="str">
        <f t="shared" si="9"/>
        <v>INSERT INTO SkillAttribute(code, title) 
SELECT 'D462', 'Identificar formas de publicação de conteúdo nas mídias digitais.' 
WHERE NOT EXISTS (SELECT 1 FROM SkillAttribute WHERE code = 'D462') 
AND SCHEMA() IN ('alura', 'aluraproduction');
SET @skill_attribute_D462_id = (SELECT id FROM SkillAttribute WHERE code = 'D462');
INSERT INTO Skill_SkillAttribute(skill_id, skill_attribute_id) 
SELECT @skill_EM13CO22_id, @skill_attribute_D462_id WHERE SCHEMA() IN ('alura', 'aluraproduction');</v>
      </c>
    </row>
    <row r="624" spans="1:4" ht="15" customHeight="1">
      <c r="A624" s="22" t="s">
        <v>1377</v>
      </c>
      <c r="B624" s="14" t="s">
        <v>1378</v>
      </c>
      <c r="C624" s="16" t="s">
        <v>162</v>
      </c>
      <c r="D624" s="36" t="str">
        <f t="shared" si="9"/>
        <v>INSERT INTO SkillAttribute(code, title) 
SELECT 'D463', 'Analisar formas de publicação de conteúdo nas mídias digitais.' 
WHERE NOT EXISTS (SELECT 1 FROM SkillAttribute WHERE code = 'D463') 
AND SCHEMA() IN ('alura', 'aluraproduction');
SET @skill_attribute_D463_id = (SELECT id FROM SkillAttribute WHERE code = 'D463');
INSERT INTO Skill_SkillAttribute(skill_id, skill_attribute_id) 
SELECT @skill_EM13CO22_id, @skill_attribute_D463_id WHERE SCHEMA() IN ('alura', 'aluraproduction');</v>
      </c>
    </row>
    <row r="625" spans="1:4" ht="15" customHeight="1">
      <c r="A625" s="22" t="s">
        <v>1379</v>
      </c>
      <c r="B625" s="14" t="s">
        <v>1380</v>
      </c>
      <c r="C625" s="16" t="s">
        <v>162</v>
      </c>
      <c r="D625" s="36" t="str">
        <f t="shared" si="9"/>
        <v>INSERT INTO SkillAttribute(code, title) 
SELECT 'D464', 'Relacionar estratégias de organização de mídias digitais à clareza na apresentação de conteúdos.' 
WHERE NOT EXISTS (SELECT 1 FROM SkillAttribute WHERE code = 'D464') 
AND SCHEMA() IN ('alura', 'aluraproduction');
SET @skill_attribute_D464_id = (SELECT id FROM SkillAttribute WHERE code = 'D464');
INSERT INTO Skill_SkillAttribute(skill_id, skill_attribute_id) 
SELECT @skill_EM13CO22_id, @skill_attribute_D464_id WHERE SCHEMA() IN ('alura', 'aluraproduction');</v>
      </c>
    </row>
    <row r="626" spans="1:4" ht="15" customHeight="1">
      <c r="A626" s="21" t="s">
        <v>1381</v>
      </c>
      <c r="B626" s="15" t="s">
        <v>1382</v>
      </c>
      <c r="C626" s="16" t="s">
        <v>164</v>
      </c>
      <c r="D626" s="36" t="str">
        <f t="shared" si="9"/>
        <v>INSERT INTO SkillAttribute(code, title) 
SELECT 'D613', 'Identificar características de diferentes tipos de comunidades virtuais.' 
WHERE NOT EXISTS (SELECT 1 FROM SkillAttribute WHERE code = 'D613') 
AND SCHEMA() IN ('alura', 'aluraproduction');
SET @skill_attribute_D613_id = (SELECT id FROM SkillAttribute WHERE code = 'D613');
INSERT INTO Skill_SkillAttribute(skill_id, skill_attribute_id) 
SELECT @skill_EM13CO23_id, @skill_attribute_D613_id WHERE SCHEMA() IN ('alura', 'aluraproduction');</v>
      </c>
    </row>
    <row r="627" spans="1:4" ht="15" customHeight="1">
      <c r="A627" s="21" t="s">
        <v>1383</v>
      </c>
      <c r="B627" s="15" t="s">
        <v>1384</v>
      </c>
      <c r="C627" s="16" t="s">
        <v>164</v>
      </c>
      <c r="D627" s="36" t="str">
        <f t="shared" si="9"/>
        <v>INSERT INTO SkillAttribute(code, title) 
SELECT 'D614', 'Compreender formas de interação comuns em ambientes online.' 
WHERE NOT EXISTS (SELECT 1 FROM SkillAttribute WHERE code = 'D614') 
AND SCHEMA() IN ('alura', 'aluraproduction');
SET @skill_attribute_D614_id = (SELECT id FROM SkillAttribute WHERE code = 'D614');
INSERT INTO Skill_SkillAttribute(skill_id, skill_attribute_id) 
SELECT @skill_EM13CO23_id, @skill_attribute_D614_id WHERE SCHEMA() IN ('alura', 'aluraproduction');</v>
      </c>
    </row>
    <row r="628" spans="1:4" ht="15" customHeight="1">
      <c r="A628" s="21" t="s">
        <v>1385</v>
      </c>
      <c r="B628" s="15" t="s">
        <v>1386</v>
      </c>
      <c r="C628" s="16" t="s">
        <v>164</v>
      </c>
      <c r="D628" s="36" t="str">
        <f t="shared" si="9"/>
        <v>INSERT INTO SkillAttribute(code, title) 
SELECT 'D615', 'Analisar impactos sociais gerados pela participação em comunidades virtuais.' 
WHERE NOT EXISTS (SELECT 1 FROM SkillAttribute WHERE code = 'D615') 
AND SCHEMA() IN ('alura', 'aluraproduction');
SET @skill_attribute_D615_id = (SELECT id FROM SkillAttribute WHERE code = 'D615');
INSERT INTO Skill_SkillAttribute(skill_id, skill_attribute_id) 
SELECT @skill_EM13CO23_id, @skill_attribute_D615_id WHERE SCHEMA() IN ('alura', 'aluraproduction');</v>
      </c>
    </row>
    <row r="629" spans="1:4" ht="15" customHeight="1">
      <c r="A629" s="21" t="s">
        <v>1387</v>
      </c>
      <c r="B629" s="15" t="s">
        <v>1388</v>
      </c>
      <c r="C629" s="16" t="s">
        <v>164</v>
      </c>
      <c r="D629" s="36" t="str">
        <f t="shared" si="9"/>
        <v>INSERT INTO SkillAttribute(code, title) 
SELECT 'D616', 'Identificar riscos associados à comunicação em comunidades virtuais.' 
WHERE NOT EXISTS (SELECT 1 FROM SkillAttribute WHERE code = 'D616') 
AND SCHEMA() IN ('alura', 'aluraproduction');
SET @skill_attribute_D616_id = (SELECT id FROM SkillAttribute WHERE code = 'D616');
INSERT INTO Skill_SkillAttribute(skill_id, skill_attribute_id) 
SELECT @skill_EM13CO23_id, @skill_attribute_D616_id WHERE SCHEMA() IN ('alura', 'aluraproduction');</v>
      </c>
    </row>
    <row r="630" spans="1:4" ht="15" customHeight="1">
      <c r="A630" s="21" t="s">
        <v>1389</v>
      </c>
      <c r="B630" s="15" t="s">
        <v>1390</v>
      </c>
      <c r="C630" s="16" t="s">
        <v>164</v>
      </c>
      <c r="D630" s="36" t="str">
        <f t="shared" si="9"/>
        <v>INSERT INTO SkillAttribute(code, title) 
SELECT 'D617', 'Compreender o papel da moderação em comunidades digitais.' 
WHERE NOT EXISTS (SELECT 1 FROM SkillAttribute WHERE code = 'D617') 
AND SCHEMA() IN ('alura', 'aluraproduction');
SET @skill_attribute_D617_id = (SELECT id FROM SkillAttribute WHERE code = 'D617');
INSERT INTO Skill_SkillAttribute(skill_id, skill_attribute_id) 
SELECT @skill_EM13CO23_id, @skill_attribute_D617_id WHERE SCHEMA() IN ('alura', 'aluraproduction');</v>
      </c>
    </row>
    <row r="631" spans="1:4" ht="15" customHeight="1">
      <c r="A631" s="21" t="s">
        <v>1391</v>
      </c>
      <c r="B631" s="15" t="s">
        <v>1392</v>
      </c>
      <c r="C631" s="16" t="s">
        <v>164</v>
      </c>
      <c r="D631" s="36" t="str">
        <f t="shared" si="9"/>
        <v>INSERT INTO SkillAttribute(code, title) 
SELECT 'D618', 'Compreender o papel da governança em comunidades digitais.' 
WHERE NOT EXISTS (SELECT 1 FROM SkillAttribute WHERE code = 'D618') 
AND SCHEMA() IN ('alura', 'aluraproduction');
SET @skill_attribute_D618_id = (SELECT id FROM SkillAttribute WHERE code = 'D618');
INSERT INTO Skill_SkillAttribute(skill_id, skill_attribute_id) 
SELECT @skill_EM13CO23_id, @skill_attribute_D618_id WHERE SCHEMA() IN ('alura', 'aluraproduction');</v>
      </c>
    </row>
    <row r="632" spans="1:4" ht="15" customHeight="1">
      <c r="A632" s="21" t="s">
        <v>1393</v>
      </c>
      <c r="B632" s="15" t="s">
        <v>1394</v>
      </c>
      <c r="C632" s="16" t="s">
        <v>164</v>
      </c>
      <c r="D632" s="36" t="str">
        <f t="shared" si="9"/>
        <v>INSERT INTO SkillAttribute(code, title) 
SELECT 'D619', 'Analisar implicações da anonimidade nas relações online.' 
WHERE NOT EXISTS (SELECT 1 FROM SkillAttribute WHERE code = 'D619') 
AND SCHEMA() IN ('alura', 'aluraproduction');
SET @skill_attribute_D619_id = (SELECT id FROM SkillAttribute WHERE code = 'D619');
INSERT INTO Skill_SkillAttribute(skill_id, skill_attribute_id) 
SELECT @skill_EM13CO23_id, @skill_attribute_D619_id WHERE SCHEMA() IN ('alura', 'aluraproduction');</v>
      </c>
    </row>
    <row r="633" spans="1:4" ht="15" customHeight="1">
      <c r="A633" s="21" t="s">
        <v>1395</v>
      </c>
      <c r="B633" s="15" t="s">
        <v>1396</v>
      </c>
      <c r="C633" s="16" t="s">
        <v>164</v>
      </c>
      <c r="D633" s="36" t="str">
        <f t="shared" si="9"/>
        <v>INSERT INTO SkillAttribute(code, title) 
SELECT 'D620', 'Distinguir relações sociais online das relações presenciais.' 
WHERE NOT EXISTS (SELECT 1 FROM SkillAttribute WHERE code = 'D620') 
AND SCHEMA() IN ('alura', 'aluraproduction');
SET @skill_attribute_D620_id = (SELECT id FROM SkillAttribute WHERE code = 'D620');
INSERT INTO Skill_SkillAttribute(skill_id, skill_attribute_id) 
SELECT @skill_EM13CO23_id, @skill_attribute_D620_id WHERE SCHEMA() IN ('alura', 'aluraproduction');</v>
      </c>
    </row>
    <row r="634" spans="1:4" ht="15" customHeight="1">
      <c r="A634" s="21" t="s">
        <v>1397</v>
      </c>
      <c r="B634" s="15" t="s">
        <v>1398</v>
      </c>
      <c r="C634" s="16" t="s">
        <v>166</v>
      </c>
      <c r="D634" s="36" t="str">
        <f t="shared" si="9"/>
        <v>INSERT INTO SkillAttribute(code, title) 
SELECT 'D621', 'Identificar impactos das redes sociais na saúde física dos usuários.' 
WHERE NOT EXISTS (SELECT 1 FROM SkillAttribute WHERE code = 'D621') 
AND SCHEMA() IN ('alura', 'aluraproduction');
SET @skill_attribute_D621_id = (SELECT id FROM SkillAttribute WHERE code = 'D621');
INSERT INTO Skill_SkillAttribute(skill_id, skill_attribute_id) 
SELECT @skill_EM13CO24_id, @skill_attribute_D621_id WHERE SCHEMA() IN ('alura', 'aluraproduction');</v>
      </c>
    </row>
    <row r="635" spans="1:4" ht="15" customHeight="1">
      <c r="A635" s="21" t="s">
        <v>1399</v>
      </c>
      <c r="B635" s="15" t="s">
        <v>1400</v>
      </c>
      <c r="C635" s="16" t="s">
        <v>166</v>
      </c>
      <c r="D635" s="36" t="str">
        <f t="shared" si="9"/>
        <v>INSERT INTO SkillAttribute(code, title) 
SELECT 'D622', 'Identificar efeitos de artefatos computacionais na qualidade do sono.' 
WHERE NOT EXISTS (SELECT 1 FROM SkillAttribute WHERE code = 'D622') 
AND SCHEMA() IN ('alura', 'aluraproduction');
SET @skill_attribute_D622_id = (SELECT id FROM SkillAttribute WHERE code = 'D622');
INSERT INTO Skill_SkillAttribute(skill_id, skill_attribute_id) 
SELECT @skill_EM13CO24_id, @skill_attribute_D622_id WHERE SCHEMA() IN ('alura', 'aluraproduction');</v>
      </c>
    </row>
    <row r="636" spans="1:4" ht="15" customHeight="1">
      <c r="A636" s="21" t="s">
        <v>1401</v>
      </c>
      <c r="B636" s="15" t="s">
        <v>1402</v>
      </c>
      <c r="C636" s="16" t="s">
        <v>166</v>
      </c>
      <c r="D636" s="36" t="str">
        <f t="shared" si="9"/>
        <v>INSERT INTO SkillAttribute(code, title) 
SELECT 'D623', 'Reconhecer consequências do uso excessivo de redes sociais para a saúde mental.' 
WHERE NOT EXISTS (SELECT 1 FROM SkillAttribute WHERE code = 'D623') 
AND SCHEMA() IN ('alura', 'aluraproduction');
SET @skill_attribute_D623_id = (SELECT id FROM SkillAttribute WHERE code = 'D623');
INSERT INTO Skill_SkillAttribute(skill_id, skill_attribute_id) 
SELECT @skill_EM13CO24_id, @skill_attribute_D623_id WHERE SCHEMA() IN ('alura', 'aluraproduction');</v>
      </c>
    </row>
    <row r="637" spans="1:4" ht="15" customHeight="1">
      <c r="A637" s="21" t="s">
        <v>1403</v>
      </c>
      <c r="B637" s="15" t="s">
        <v>1404</v>
      </c>
      <c r="C637" s="16" t="s">
        <v>166</v>
      </c>
      <c r="D637" s="36" t="str">
        <f t="shared" si="9"/>
        <v>INSERT INTO SkillAttribute(code, title) 
SELECT 'D624', 'Reconhecer sinais de estresse relacionados ao uso de plataformas digitais.' 
WHERE NOT EXISTS (SELECT 1 FROM SkillAttribute WHERE code = 'D624') 
AND SCHEMA() IN ('alura', 'aluraproduction');
SET @skill_attribute_D624_id = (SELECT id FROM SkillAttribute WHERE code = 'D624');
INSERT INTO Skill_SkillAttribute(skill_id, skill_attribute_id) 
SELECT @skill_EM13CO24_id, @skill_attribute_D624_id WHERE SCHEMA() IN ('alura', 'aluraproduction');</v>
      </c>
    </row>
    <row r="638" spans="1:4" ht="15" customHeight="1">
      <c r="A638" s="21" t="s">
        <v>1405</v>
      </c>
      <c r="B638" s="15" t="s">
        <v>1406</v>
      </c>
      <c r="C638" s="16" t="s">
        <v>166</v>
      </c>
      <c r="D638" s="36" t="str">
        <f t="shared" si="9"/>
        <v>INSERT INTO SkillAttribute(code, title) 
SELECT 'D625', 'Compreender mecanismos de interação em redes sociais que podem gerar ansiedade.' 
WHERE NOT EXISTS (SELECT 1 FROM SkillAttribute WHERE code = 'D625') 
AND SCHEMA() IN ('alura', 'aluraproduction');
SET @skill_attribute_D625_id = (SELECT id FROM SkillAttribute WHERE code = 'D625');
INSERT INTO Skill_SkillAttribute(skill_id, skill_attribute_id) 
SELECT @skill_EM13CO24_id, @skill_attribute_D625_id WHERE SCHEMA() IN ('alura', 'aluraproduction');</v>
      </c>
    </row>
    <row r="639" spans="1:4" ht="15" customHeight="1">
      <c r="A639" s="21" t="s">
        <v>1407</v>
      </c>
      <c r="B639" s="15" t="s">
        <v>1408</v>
      </c>
      <c r="C639" s="16" t="s">
        <v>166</v>
      </c>
      <c r="D639" s="36" t="str">
        <f t="shared" si="9"/>
        <v>INSERT INTO SkillAttribute(code, title) 
SELECT 'D626', 'Compreender fatores tecnológicos que contribuem para o sedentarismo digital.' 
WHERE NOT EXISTS (SELECT 1 FROM SkillAttribute WHERE code = 'D626') 
AND SCHEMA() IN ('alura', 'aluraproduction');
SET @skill_attribute_D626_id = (SELECT id FROM SkillAttribute WHERE code = 'D626');
INSERT INTO Skill_SkillAttribute(skill_id, skill_attribute_id) 
SELECT @skill_EM13CO24_id, @skill_attribute_D626_id WHERE SCHEMA() IN ('alura', 'aluraproduction');</v>
      </c>
    </row>
    <row r="640" spans="1:4" ht="15" customHeight="1">
      <c r="A640" s="21" t="s">
        <v>1409</v>
      </c>
      <c r="B640" s="15" t="s">
        <v>1410</v>
      </c>
      <c r="C640" s="16" t="s">
        <v>166</v>
      </c>
      <c r="D640" s="36" t="str">
        <f t="shared" si="9"/>
        <v>INSERT INTO SkillAttribute(code, title) 
SELECT 'D627', 'Analisar evidências de dependência digital em comunidades online.' 
WHERE NOT EXISTS (SELECT 1 FROM SkillAttribute WHERE code = 'D627') 
AND SCHEMA() IN ('alura', 'aluraproduction');
SET @skill_attribute_D627_id = (SELECT id FROM SkillAttribute WHERE code = 'D627');
INSERT INTO Skill_SkillAttribute(skill_id, skill_attribute_id) 
SELECT @skill_EM13CO24_id, @skill_attribute_D627_id WHERE SCHEMA() IN ('alura', 'aluraproduction');</v>
      </c>
    </row>
    <row r="641" spans="1:4" ht="15" customHeight="1">
      <c r="A641" s="21" t="s">
        <v>1411</v>
      </c>
      <c r="B641" s="15" t="s">
        <v>1412</v>
      </c>
      <c r="C641" s="16" t="s">
        <v>166</v>
      </c>
      <c r="D641" s="36" t="str">
        <f t="shared" si="9"/>
        <v>INSERT INTO SkillAttribute(code, title) 
SELECT 'D628', 'Distinguir entre uso saudável e uso prejudicial de artefatos computacionais.' 
WHERE NOT EXISTS (SELECT 1 FROM SkillAttribute WHERE code = 'D628') 
AND SCHEMA() IN ('alura', 'aluraproduction');
SET @skill_attribute_D628_id = (SELECT id FROM SkillAttribute WHERE code = 'D628');
INSERT INTO Skill_SkillAttribute(skill_id, skill_attribute_id) 
SELECT @skill_EM13CO24_id, @skill_attribute_D628_id WHERE SCHEMA() IN ('alura', 'aluraproduction');</v>
      </c>
    </row>
    <row r="642" spans="1:4" ht="15" customHeight="1">
      <c r="A642" s="21" t="s">
        <v>1413</v>
      </c>
      <c r="B642" s="15" t="s">
        <v>1414</v>
      </c>
      <c r="C642" s="16" t="s">
        <v>166</v>
      </c>
      <c r="D642" s="36" t="str">
        <f t="shared" si="9"/>
        <v>INSERT INTO SkillAttribute(code, title) 
SELECT 'D629', 'Analisar estratégias de autocuidado para mitigar impactos negativos da tecnologia.' 
WHERE NOT EXISTS (SELECT 1 FROM SkillAttribute WHERE code = 'D629') 
AND SCHEMA() IN ('alura', 'aluraproduction');
SET @skill_attribute_D629_id = (SELECT id FROM SkillAttribute WHERE code = 'D629');
INSERT INTO Skill_SkillAttribute(skill_id, skill_attribute_id) 
SELECT @skill_EM13CO24_id, @skill_attribute_D629_id WHERE SCHEMA() IN ('alura', 'aluraproduction');</v>
      </c>
    </row>
    <row r="643" spans="1:4" ht="15" customHeight="1">
      <c r="A643" s="21" t="s">
        <v>1415</v>
      </c>
      <c r="B643" s="15" t="s">
        <v>1416</v>
      </c>
      <c r="C643" s="16" t="s">
        <v>168</v>
      </c>
      <c r="D643" s="36" t="str">
        <f t="shared" ref="D643:D659" si="10">"INSERT INTO SkillAttribute(code, title) " &amp; CHAR(10) &amp;
"SELECT '" &amp; A643 &amp; "', '" &amp; SUBSTITUTE(B643, "'", "''") &amp; "' " &amp; CHAR(10) &amp;
"WHERE NOT EXISTS (SELECT 1 FROM SkillAttribute WHERE code = '" &amp; A643 &amp; "') " &amp; CHAR(10) &amp;
"AND SCHEMA() IN ('alura', 'aluraproduction');" &amp;
CHAR(10) &amp; CHAR(10) &amp;
"SET @skill_attribute_" &amp; A643 &amp; "_id = (SELECT id FROM SkillAttribute WHERE code = '" &amp; A643 &amp; "');" &amp;
CHAR(10) &amp; CHAR(10) &amp;
"INSERT INTO Skill_SkillAttribute(skill_id, skill_attribute_id) " &amp; CHAR(10) &amp;
"SELECT @skill_" &amp; C643 &amp; "_id, @skill_attribute_" &amp; A643 &amp; "_id WHERE SCHEMA() IN ('alura', 'aluraproduction');"</f>
        <v>INSERT INTO SkillAttribute(code, title) 
SELECT 'D630', 'Identificar práticas seguras para diálogo em ambientes virtuais.' 
WHERE NOT EXISTS (SELECT 1 FROM SkillAttribute WHERE code = 'D630') 
AND SCHEMA() IN ('alura', 'aluraproduction');
SET @skill_attribute_D630_id = (SELECT id FROM SkillAttribute WHERE code = 'D630');
INSERT INTO Skill_SkillAttribute(skill_id, skill_attribute_id) 
SELECT @skill_EM13CO25_id, @skill_attribute_D630_id WHERE SCHEMA() IN ('alura', 'aluraproduction');</v>
      </c>
    </row>
    <row r="644" spans="1:4" ht="15" customHeight="1">
      <c r="A644" s="21" t="s">
        <v>1417</v>
      </c>
      <c r="B644" s="15" t="s">
        <v>1418</v>
      </c>
      <c r="C644" s="16" t="s">
        <v>168</v>
      </c>
      <c r="D644" s="36" t="str">
        <f t="shared" si="10"/>
        <v>INSERT INTO SkillAttribute(code, title) 
SELECT 'D631', 'Compreender a importância do respeito às diferenças culturais em conversas online.' 
WHERE NOT EXISTS (SELECT 1 FROM SkillAttribute WHERE code = 'D631') 
AND SCHEMA() IN ('alura', 'aluraproduction');
SET @skill_attribute_D631_id = (SELECT id FROM SkillAttribute WHERE code = 'D631');
INSERT INTO Skill_SkillAttribute(skill_id, skill_attribute_id) 
SELECT @skill_EM13CO25_id, @skill_attribute_D631_id WHERE SCHEMA() IN ('alura', 'aluraproduction');</v>
      </c>
    </row>
    <row r="645" spans="1:4" ht="15" customHeight="1">
      <c r="A645" s="21" t="s">
        <v>1419</v>
      </c>
      <c r="B645" s="15" t="s">
        <v>1420</v>
      </c>
      <c r="C645" s="16" t="s">
        <v>168</v>
      </c>
      <c r="D645" s="36" t="str">
        <f t="shared" si="10"/>
        <v>INSERT INTO SkillAttribute(code, title) 
SELECT 'D632', 'Identificar comportamentos que demonstram respeito à diversidade pessoal em ambientes digitais.' 
WHERE NOT EXISTS (SELECT 1 FROM SkillAttribute WHERE code = 'D632') 
AND SCHEMA() IN ('alura', 'aluraproduction');
SET @skill_attribute_D632_id = (SELECT id FROM SkillAttribute WHERE code = 'D632');
INSERT INTO Skill_SkillAttribute(skill_id, skill_attribute_id) 
SELECT @skill_EM13CO25_id, @skill_attribute_D632_id WHERE SCHEMA() IN ('alura', 'aluraproduction');</v>
      </c>
    </row>
    <row r="646" spans="1:4" ht="15" customHeight="1">
      <c r="A646" s="21" t="s">
        <v>1421</v>
      </c>
      <c r="B646" s="15" t="s">
        <v>1422</v>
      </c>
      <c r="C646" s="16" t="s">
        <v>168</v>
      </c>
      <c r="D646" s="36" t="str">
        <f t="shared" si="10"/>
        <v>INSERT INTO SkillAttribute(code, title) 
SELECT 'D633', 'Reconhecer atitudes abusivas em interações virtuais.' 
WHERE NOT EXISTS (SELECT 1 FROM SkillAttribute WHERE code = 'D633') 
AND SCHEMA() IN ('alura', 'aluraproduction');
SET @skill_attribute_D633_id = (SELECT id FROM SkillAttribute WHERE code = 'D633');
INSERT INTO Skill_SkillAttribute(skill_id, skill_attribute_id) 
SELECT @skill_EM13CO25_id, @skill_attribute_D633_id WHERE SCHEMA() IN ('alura', 'aluraproduction');</v>
      </c>
    </row>
    <row r="647" spans="1:4" ht="15" customHeight="1">
      <c r="A647" s="21" t="s">
        <v>1423</v>
      </c>
      <c r="B647" s="15" t="s">
        <v>1424</v>
      </c>
      <c r="C647" s="16" t="s">
        <v>168</v>
      </c>
      <c r="D647" s="36" t="str">
        <f t="shared" si="10"/>
        <v>INSERT INTO SkillAttribute(code, title) 
SELECT 'D634', 'Identificar canais ou procedimentos para denúncia de comportamentos abusivos online.' 
WHERE NOT EXISTS (SELECT 1 FROM SkillAttribute WHERE code = 'D634') 
AND SCHEMA() IN ('alura', 'aluraproduction');
SET @skill_attribute_D634_id = (SELECT id FROM SkillAttribute WHERE code = 'D634');
INSERT INTO Skill_SkillAttribute(skill_id, skill_attribute_id) 
SELECT @skill_EM13CO25_id, @skill_attribute_D634_id WHERE SCHEMA() IN ('alura', 'aluraproduction');</v>
      </c>
    </row>
    <row r="648" spans="1:4" ht="15" customHeight="1">
      <c r="A648" s="21" t="s">
        <v>1425</v>
      </c>
      <c r="B648" s="15" t="s">
        <v>1426</v>
      </c>
      <c r="C648" s="16" t="s">
        <v>168</v>
      </c>
      <c r="D648" s="36" t="str">
        <f t="shared" si="10"/>
        <v>INSERT INTO SkillAttribute(code, title) 
SELECT 'D635', 'Compreender as consequências do cyberbullying para as vítimas.' 
WHERE NOT EXISTS (SELECT 1 FROM SkillAttribute WHERE code = 'D635') 
AND SCHEMA() IN ('alura', 'aluraproduction');
SET @skill_attribute_D635_id = (SELECT id FROM SkillAttribute WHERE code = 'D635');
INSERT INTO Skill_SkillAttribute(skill_id, skill_attribute_id) 
SELECT @skill_EM13CO25_id, @skill_attribute_D635_id WHERE SCHEMA() IN ('alura', 'aluraproduction');</v>
      </c>
    </row>
    <row r="649" spans="1:4" ht="15" customHeight="1">
      <c r="A649" s="21" t="s">
        <v>1427</v>
      </c>
      <c r="B649" s="15" t="s">
        <v>1428</v>
      </c>
      <c r="C649" s="16" t="s">
        <v>168</v>
      </c>
      <c r="D649" s="36" t="str">
        <f t="shared" si="10"/>
        <v>INSERT INTO SkillAttribute(code, title) 
SELECT 'D636', 'Analisar impactos do discurso de ódio na convivência digital.' 
WHERE NOT EXISTS (SELECT 1 FROM SkillAttribute WHERE code = 'D636') 
AND SCHEMA() IN ('alura', 'aluraproduction');
SET @skill_attribute_D636_id = (SELECT id FROM SkillAttribute WHERE code = 'D636');
INSERT INTO Skill_SkillAttribute(skill_id, skill_attribute_id) 
SELECT @skill_EM13CO25_id, @skill_attribute_D636_id WHERE SCHEMA() IN ('alura', 'aluraproduction');</v>
      </c>
    </row>
    <row r="650" spans="1:4" ht="15" customHeight="1">
      <c r="A650" s="21" t="s">
        <v>1429</v>
      </c>
      <c r="B650" s="15" t="s">
        <v>1430</v>
      </c>
      <c r="C650" s="16" t="s">
        <v>168</v>
      </c>
      <c r="D650" s="36" t="str">
        <f t="shared" si="10"/>
        <v>INSERT INTO SkillAttribute(code, title) 
SELECT 'D637', 'Distinguir comunicação respeitosa de comunicação abusiva em redes sociais.' 
WHERE NOT EXISTS (SELECT 1 FROM SkillAttribute WHERE code = 'D637') 
AND SCHEMA() IN ('alura', 'aluraproduction');
SET @skill_attribute_D637_id = (SELECT id FROM SkillAttribute WHERE code = 'D637');
INSERT INTO Skill_SkillAttribute(skill_id, skill_attribute_id) 
SELECT @skill_EM13CO25_id, @skill_attribute_D637_id WHERE SCHEMA() IN ('alura', 'aluraproduction');</v>
      </c>
    </row>
    <row r="651" spans="1:4" ht="15" customHeight="1">
      <c r="A651" s="21" t="s">
        <v>1431</v>
      </c>
      <c r="B651" s="15" t="s">
        <v>1432</v>
      </c>
      <c r="C651" s="16" t="s">
        <v>168</v>
      </c>
      <c r="D651" s="36" t="str">
        <f t="shared" si="10"/>
        <v>INSERT INTO SkillAttribute(code, title) 
SELECT 'D638', 'Analisar eficácia dos mecanismos de denúncia em plataformas digitais.' 
WHERE NOT EXISTS (SELECT 1 FROM SkillAttribute WHERE code = 'D638') 
AND SCHEMA() IN ('alura', 'aluraproduction');
SET @skill_attribute_D638_id = (SELECT id FROM SkillAttribute WHERE code = 'D638');
INSERT INTO Skill_SkillAttribute(skill_id, skill_attribute_id) 
SELECT @skill_EM13CO25_id, @skill_attribute_D638_id WHERE SCHEMA() IN ('alura', 'aluraproduction');</v>
      </c>
    </row>
    <row r="652" spans="1:4" ht="15" customHeight="1">
      <c r="A652" s="22" t="s">
        <v>1433</v>
      </c>
      <c r="B652" s="14" t="s">
        <v>1434</v>
      </c>
      <c r="C652" s="16" t="s">
        <v>170</v>
      </c>
      <c r="D652" s="36" t="str">
        <f t="shared" si="10"/>
        <v>INSERT INTO SkillAttribute(code, title) 
SELECT 'D465', 'Compreender o conceito de direito digital.' 
WHERE NOT EXISTS (SELECT 1 FROM SkillAttribute WHERE code = 'D465') 
AND SCHEMA() IN ('alura', 'aluraproduction');
SET @skill_attribute_D465_id = (SELECT id FROM SkillAttribute WHERE code = 'D465');
INSERT INTO Skill_SkillAttribute(skill_id, skill_attribute_id) 
SELECT @skill_EM13CO26_id, @skill_attribute_D465_id WHERE SCHEMA() IN ('alura', 'aluraproduction');</v>
      </c>
    </row>
    <row r="653" spans="1:4" ht="15" customHeight="1">
      <c r="A653" s="22" t="s">
        <v>1435</v>
      </c>
      <c r="B653" s="14" t="s">
        <v>1436</v>
      </c>
      <c r="C653" s="16" t="s">
        <v>170</v>
      </c>
      <c r="D653" s="36" t="str">
        <f t="shared" si="10"/>
        <v>INSERT INTO SkillAttribute(code, title) 
SELECT 'D466', 'Identificar pressupostos do direito digital.' 
WHERE NOT EXISTS (SELECT 1 FROM SkillAttribute WHERE code = 'D466') 
AND SCHEMA() IN ('alura', 'aluraproduction');
SET @skill_attribute_D466_id = (SELECT id FROM SkillAttribute WHERE code = 'D466');
INSERT INTO Skill_SkillAttribute(skill_id, skill_attribute_id) 
SELECT @skill_EM13CO26_id, @skill_attribute_D466_id WHERE SCHEMA() IN ('alura', 'aluraproduction');</v>
      </c>
    </row>
    <row r="654" spans="1:4" ht="15" customHeight="1">
      <c r="A654" s="22" t="s">
        <v>1437</v>
      </c>
      <c r="B654" s="14" t="s">
        <v>1438</v>
      </c>
      <c r="C654" s="16" t="s">
        <v>170</v>
      </c>
      <c r="D654" s="36" t="str">
        <f t="shared" si="10"/>
        <v>INSERT INTO SkillAttribute(code, title) 
SELECT 'D467', 'Compreender pressupostos do direito digital.' 
WHERE NOT EXISTS (SELECT 1 FROM SkillAttribute WHERE code = 'D467') 
AND SCHEMA() IN ('alura', 'aluraproduction');
SET @skill_attribute_D467_id = (SELECT id FROM SkillAttribute WHERE code = 'D467');
INSERT INTO Skill_SkillAttribute(skill_id, skill_attribute_id) 
SELECT @skill_EM13CO26_id, @skill_attribute_D467_id WHERE SCHEMA() IN ('alura', 'aluraproduction');</v>
      </c>
    </row>
    <row r="655" spans="1:4" ht="15" customHeight="1">
      <c r="A655" s="22" t="s">
        <v>1439</v>
      </c>
      <c r="B655" s="14" t="s">
        <v>1440</v>
      </c>
      <c r="C655" s="16" t="s">
        <v>170</v>
      </c>
      <c r="D655" s="36" t="str">
        <f t="shared" si="10"/>
        <v>INSERT INTO SkillAttribute(code, title) 
SELECT 'D468', 'Analisar o uso de conceitos do direito digital na conduta cotidiana dos usuários.' 
WHERE NOT EXISTS (SELECT 1 FROM SkillAttribute WHERE code = 'D468') 
AND SCHEMA() IN ('alura', 'aluraproduction');
SET @skill_attribute_D468_id = (SELECT id FROM SkillAttribute WHERE code = 'D468');
INSERT INTO Skill_SkillAttribute(skill_id, skill_attribute_id) 
SELECT @skill_EM13CO26_id, @skill_attribute_D468_id WHERE SCHEMA() IN ('alura', 'aluraproduction');</v>
      </c>
    </row>
    <row r="656" spans="1:4" ht="15" customHeight="1">
      <c r="A656" s="22" t="s">
        <v>1441</v>
      </c>
      <c r="B656" s="14" t="s">
        <v>1442</v>
      </c>
      <c r="C656" s="16" t="s">
        <v>170</v>
      </c>
      <c r="D656" s="36" t="str">
        <f t="shared" si="10"/>
        <v>INSERT INTO SkillAttribute(code, title) 
SELECT 'D469', 'Analisar o uso de conceitos do direito digital na produção de conteúdo pelos usuários.' 
WHERE NOT EXISTS (SELECT 1 FROM SkillAttribute WHERE code = 'D469') 
AND SCHEMA() IN ('alura', 'aluraproduction');
SET @skill_attribute_D469_id = (SELECT id FROM SkillAttribute WHERE code = 'D469');
INSERT INTO Skill_SkillAttribute(skill_id, skill_attribute_id) 
SELECT @skill_EM13CO26_id, @skill_attribute_D469_id WHERE SCHEMA() IN ('alura', 'aluraproduction');</v>
      </c>
    </row>
    <row r="657" spans="1:4" ht="15" customHeight="1">
      <c r="A657" s="22" t="s">
        <v>1443</v>
      </c>
      <c r="B657" s="14" t="s">
        <v>1444</v>
      </c>
      <c r="C657" s="16" t="s">
        <v>170</v>
      </c>
      <c r="D657" s="36" t="str">
        <f t="shared" si="10"/>
        <v>INSERT INTO SkillAttribute(code, title) 
SELECT 'D470', 'Analisar o emprego de conceitos do direito digital no uso de artefatos computacionais.' 
WHERE NOT EXISTS (SELECT 1 FROM SkillAttribute WHERE code = 'D470') 
AND SCHEMA() IN ('alura', 'aluraproduction');
SET @skill_attribute_D470_id = (SELECT id FROM SkillAttribute WHERE code = 'D470');
INSERT INTO Skill_SkillAttribute(skill_id, skill_attribute_id) 
SELECT @skill_EM13CO26_id, @skill_attribute_D470_id WHERE SCHEMA() IN ('alura', 'aluraproduction');</v>
      </c>
    </row>
    <row r="658" spans="1:4" ht="15" customHeight="1">
      <c r="A658" s="22" t="s">
        <v>1445</v>
      </c>
      <c r="B658" s="14" t="s">
        <v>1446</v>
      </c>
      <c r="C658" s="16" t="s">
        <v>170</v>
      </c>
      <c r="D658" s="36" t="str">
        <f t="shared" si="10"/>
        <v>INSERT INTO SkillAttribute(code, title) 
SELECT 'D471', 'Reconhecer condutas compatíveis com os princípios do direito digital em contextos do cotidiano digital.' 
WHERE NOT EXISTS (SELECT 1 FROM SkillAttribute WHERE code = 'D471') 
AND SCHEMA() IN ('alura', 'aluraproduction');
SET @skill_attribute_D471_id = (SELECT id FROM SkillAttribute WHERE code = 'D471');
INSERT INTO Skill_SkillAttribute(skill_id, skill_attribute_id) 
SELECT @skill_EM13CO26_id, @skill_attribute_D471_id WHERE SCHEMA() IN ('alura', 'aluraproduction');</v>
      </c>
    </row>
    <row r="659" spans="1:4" ht="15" customHeight="1">
      <c r="A659" s="22" t="s">
        <v>1447</v>
      </c>
      <c r="B659" s="14" t="s">
        <v>1448</v>
      </c>
      <c r="C659" s="16" t="s">
        <v>170</v>
      </c>
      <c r="D659" s="36" t="str">
        <f t="shared" si="10"/>
        <v>INSERT INTO SkillAttribute(code, title) 
SELECT 'D472', 'Relacionar conceitos do direito digital a situações-problema da cultura digital contemporânea.' 
WHERE NOT EXISTS (SELECT 1 FROM SkillAttribute WHERE code = 'D472') 
AND SCHEMA() IN ('alura', 'aluraproduction');
SET @skill_attribute_D472_id = (SELECT id FROM SkillAttribute WHERE code = 'D472');
INSERT INTO Skill_SkillAttribute(skill_id, skill_attribute_id) 
SELECT @skill_EM13CO26_id, @skill_attribute_D472_id WHERE SCHEMA() IN ('alura', 'aluraproduction');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2026-01-07T17:32:50Z</dcterms:created>
  <dcterms:modified xsi:type="dcterms:W3CDTF">2026-04-29T00:57:00Z</dcterms:modified>
  <cp:category/>
  <cp:contentStatus/>
</cp:coreProperties>
</file>